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slicers/slicer2.xml" ContentType="application/vnd.ms-excel.slicer+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Home\Desktop\Resume Projects\01_Excel\"/>
    </mc:Choice>
  </mc:AlternateContent>
  <xr:revisionPtr revIDLastSave="0" documentId="13_ncr:1_{6A875A57-5D84-47A3-AC0E-409CE7FBA037}" xr6:coauthVersionLast="47" xr6:coauthVersionMax="47" xr10:uidLastSave="{00000000-0000-0000-0000-000000000000}"/>
  <bookViews>
    <workbookView xWindow="-120" yWindow="330" windowWidth="29040" windowHeight="15990" xr2:uid="{A7B2D2D4-1A21-4962-A6DC-EAEEE8BDA033}"/>
  </bookViews>
  <sheets>
    <sheet name="Income" sheetId="2" r:id="rId1"/>
    <sheet name="Expenses" sheetId="1" r:id="rId2"/>
    <sheet name="Back-Up" sheetId="3" r:id="rId3"/>
    <sheet name="Savings" sheetId="4" r:id="rId4"/>
  </sheets>
  <definedNames>
    <definedName name="_xlnm._FilterDatabase" localSheetId="1" hidden="1">Expenses!$A$7:$A$7</definedName>
    <definedName name="_xlchart.v2.0" hidden="1">Expenses!$B$19:$M$19</definedName>
    <definedName name="Slicer_Source">#N/A</definedName>
    <definedName name="Slicer_Year">#N/A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4:slicerCache r:id="rId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3" i="1" l="1"/>
  <c r="H10" i="3"/>
  <c r="N4" i="1"/>
  <c r="N5" i="1"/>
  <c r="N6" i="1"/>
  <c r="N7" i="1"/>
  <c r="N8" i="1"/>
  <c r="N9" i="1"/>
  <c r="N10" i="1"/>
  <c r="N11" i="1"/>
  <c r="N12" i="1"/>
  <c r="N13" i="1"/>
  <c r="N14" i="1"/>
  <c r="N15" i="1"/>
  <c r="N16" i="1"/>
  <c r="N17" i="1"/>
  <c r="N18" i="1"/>
  <c r="C19" i="1"/>
  <c r="D19" i="1"/>
  <c r="E19" i="1"/>
  <c r="F19" i="1"/>
  <c r="G19" i="1"/>
  <c r="H19" i="1"/>
  <c r="I19" i="1"/>
  <c r="J19" i="1"/>
  <c r="K19" i="1"/>
  <c r="L19" i="1"/>
  <c r="M19" i="1"/>
  <c r="B19" i="1"/>
  <c r="G12" i="3"/>
  <c r="F12" i="3"/>
  <c r="H5" i="3"/>
  <c r="H6" i="3"/>
  <c r="H7" i="3"/>
  <c r="H8" i="3"/>
  <c r="H9" i="3"/>
  <c r="H11" i="3"/>
  <c r="H4" i="3"/>
  <c r="B14" i="2"/>
  <c r="C14" i="2"/>
  <c r="D14" i="2"/>
  <c r="E14" i="2"/>
  <c r="F14" i="2"/>
  <c r="G14" i="2"/>
  <c r="H14" i="2"/>
  <c r="I14" i="2"/>
  <c r="J14" i="2"/>
  <c r="K14" i="2"/>
  <c r="L14" i="2"/>
  <c r="M14" i="2"/>
  <c r="N7" i="2"/>
  <c r="N8" i="2"/>
  <c r="N9" i="2"/>
  <c r="N10" i="2"/>
  <c r="N11" i="2"/>
  <c r="N12" i="2"/>
  <c r="N13" i="2"/>
  <c r="C3" i="4" l="1" a="1"/>
  <c r="C3" i="4" s="1"/>
  <c r="N19" i="1"/>
  <c r="M3" i="4" a="1"/>
  <c r="M3" i="4" s="1"/>
  <c r="H3" i="4" a="1"/>
  <c r="H3" i="4" s="1"/>
  <c r="E3" i="4" a="1"/>
  <c r="E3" i="4" s="1"/>
  <c r="J3" i="4" a="1"/>
  <c r="J3" i="4" s="1"/>
  <c r="G3" i="4" a="1"/>
  <c r="G3" i="4" s="1"/>
  <c r="L3" i="4" a="1"/>
  <c r="L3" i="4" s="1"/>
  <c r="I3" i="4" a="1"/>
  <c r="I3" i="4" s="1"/>
  <c r="D3" i="4" a="1"/>
  <c r="D3" i="4" s="1"/>
  <c r="B3" i="4" a="1"/>
  <c r="B3" i="4" s="1"/>
  <c r="K3" i="4" a="1"/>
  <c r="K3" i="4" s="1"/>
  <c r="F3" i="4" a="1"/>
  <c r="F3" i="4" s="1"/>
  <c r="H12" i="3"/>
  <c r="N14" i="2"/>
  <c r="N3" i="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<sst xmlns="http://schemas.openxmlformats.org/spreadsheetml/2006/main" count="83" uniqueCount="55">
  <si>
    <t>General Expenses</t>
  </si>
  <si>
    <t>Groceries</t>
  </si>
  <si>
    <t>House Rent</t>
  </si>
  <si>
    <t>Electricity Bill</t>
  </si>
  <si>
    <t>Water Bill</t>
  </si>
  <si>
    <t>Wi-Fi Bill</t>
  </si>
  <si>
    <t>Travel Expenses</t>
  </si>
  <si>
    <t>Debt</t>
  </si>
  <si>
    <t>Personal Expenses</t>
  </si>
  <si>
    <t>EMI - 1</t>
  </si>
  <si>
    <t>EMI - 2</t>
  </si>
  <si>
    <t>EMI - 3</t>
  </si>
  <si>
    <t>Vehicle Expenses</t>
  </si>
  <si>
    <t>Petrol</t>
  </si>
  <si>
    <t>Gas Bill</t>
  </si>
  <si>
    <t>Additional Expense</t>
  </si>
  <si>
    <t>Phone Bill</t>
  </si>
  <si>
    <t>Jan</t>
  </si>
  <si>
    <t>Feb</t>
  </si>
  <si>
    <t>Mar</t>
  </si>
  <si>
    <t>Apr</t>
  </si>
  <si>
    <t>May</t>
  </si>
  <si>
    <t>Jun</t>
  </si>
  <si>
    <t>Jul</t>
  </si>
  <si>
    <t>Aug</t>
  </si>
  <si>
    <t>Sep</t>
  </si>
  <si>
    <t>Oct</t>
  </si>
  <si>
    <t>Nov</t>
  </si>
  <si>
    <t>Dec</t>
  </si>
  <si>
    <t>Monthly Salary</t>
  </si>
  <si>
    <t>Incentives</t>
  </si>
  <si>
    <t>OT</t>
  </si>
  <si>
    <t>Bonus</t>
  </si>
  <si>
    <t>Extra Income</t>
  </si>
  <si>
    <t>Additional</t>
  </si>
  <si>
    <t>Source</t>
  </si>
  <si>
    <t>Reimbursement</t>
  </si>
  <si>
    <t>Net Income</t>
  </si>
  <si>
    <t>Total</t>
  </si>
  <si>
    <t>Health Insurance</t>
  </si>
  <si>
    <t>Term Insurance</t>
  </si>
  <si>
    <t>LIC</t>
  </si>
  <si>
    <t>Retirement Fund</t>
  </si>
  <si>
    <t>Recurring Deposit</t>
  </si>
  <si>
    <t>Fixed Deposit</t>
  </si>
  <si>
    <t>Emergency Fund</t>
  </si>
  <si>
    <t>monthly_payment</t>
  </si>
  <si>
    <t>duration_month</t>
  </si>
  <si>
    <t>total</t>
  </si>
  <si>
    <t>Year</t>
  </si>
  <si>
    <t>Investment</t>
  </si>
  <si>
    <t>Annual</t>
  </si>
  <si>
    <t>monthly_savings</t>
  </si>
  <si>
    <t>Net Expenses</t>
  </si>
  <si>
    <t>Note : Do not edit this page.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</si>
</sst>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 #,##0;[Red]&quot;₹&quot;\ \-#,##0"/>
  </numFmts>
  <fonts count="6"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2"/>
      <color rgb="FF000000"/>
      <name val="Calibri"/>
      <family val="2"/>
    </font>
  </fonts>
  <fills count="6">
    <fill>
      <patternFill patternType="none"/>
    </fill>
    <fill>
      <patternFill patternType="gray125"/>
    </fill>
    <fill>
      <patternFill patternType="solid">
        <fgColor theme="5" tint="-0.249977111117893"/>
        <bgColor indexed="64"/>
      </patternFill>
    </fill>
    <fill>
      <patternFill patternType="solid">
        <fgColor theme="8" tint="-0.249977111117893"/>
        <bgColor indexed="64"/>
      </patternFill>
    </fill>
    <fill>
      <patternFill patternType="solid">
        <fgColor rgb="FFFFFF00"/>
        <bgColor indexed="64"/>
      </patternFill>
    </fill>
    <fill>
      <patternFill patternType="solid">
        <fgColor theme="9" tint="0.59999389629810485"/>
        <bgColor indexed="64"/>
      </patternFill>
    </fill>
  </fills>
  <borders count="4">
    <border>
      <left/>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7">
    <xf numFmtId="0" fontId="0" fillId="0" borderId="0" xfId="0"/>
    <xf numFmtId="0" fontId="2" fillId="0" borderId="0" xfId="0" applyFont="1" applyAlignment="1">
      <alignment horizontal="center"/>
    </xf>
    <xf numFmtId="0" fontId="0" fillId="0" borderId="0" xfId="0" applyAlignment="1">
      <alignment horizontal="center"/>
    </xf>
    <xf numFmtId="0" fontId="0" fillId="0" borderId="0" xfId="0" applyAlignment="1">
      <alignment horizontal="center" vertical="center"/>
    </xf>
    <xf numFmtId="0" fontId="2" fillId="2" borderId="0" xfId="0" applyFont="1" applyFill="1" applyAlignment="1">
      <alignment horizontal="center" vertical="center"/>
    </xf>
    <xf numFmtId="6" fontId="0" fillId="0" borderId="0" xfId="0" applyNumberFormat="1" applyAlignment="1">
      <alignment horizontal="center"/>
    </xf>
    <xf numFmtId="6" fontId="0" fillId="0" borderId="0" xfId="0" applyNumberFormat="1" applyAlignment="1">
      <alignment horizontal="center" vertical="center"/>
    </xf>
    <xf numFmtId="0" fontId="2" fillId="3" borderId="0" xfId="0" applyFont="1" applyFill="1" applyAlignment="1">
      <alignment horizontal="center" vertical="center"/>
    </xf>
    <xf numFmtId="0" fontId="0" fillId="0" borderId="0" xfId="0" applyFont="1"/>
    <xf numFmtId="0" fontId="0" fillId="0" borderId="0" xfId="0" applyAlignment="1"/>
    <xf numFmtId="0" fontId="2" fillId="4" borderId="0" xfId="0" applyFont="1" applyFill="1"/>
    <xf numFmtId="0" fontId="1" fillId="2" borderId="0" xfId="0" applyFont="1" applyFill="1" applyAlignment="1">
      <alignment horizontal="center" vertical="center"/>
    </xf>
    <xf numFmtId="0" fontId="3" fillId="2" borderId="0" xfId="0" applyFont="1" applyFill="1" applyAlignment="1">
      <alignment horizontal="left" vertical="center"/>
    </xf>
    <xf numFmtId="0" fontId="0" fillId="0" borderId="1" xfId="0" applyBorder="1" applyAlignment="1">
      <alignment horizontal="center" vertical="center"/>
    </xf>
    <xf numFmtId="6" fontId="0" fillId="0" borderId="2" xfId="0" applyNumberFormat="1" applyBorder="1" applyAlignment="1">
      <alignment horizontal="center" vertical="center"/>
    </xf>
    <xf numFmtId="6" fontId="0" fillId="0" borderId="3" xfId="0" applyNumberFormat="1" applyBorder="1" applyAlignment="1">
      <alignment horizontal="center" vertical="center"/>
    </xf>
    <xf numFmtId="0" fontId="2" fillId="5" borderId="0" xfId="0" applyFont="1" applyFill="1" applyAlignment="1">
      <alignment horizontal="center" vertical="center"/>
    </xf>
  </cellXfs>
  <cellStyles count="1">
    <cellStyle name="Normal" xfId="0" builtinId="0"/>
  </cellStyles>
  <dxfs count="67">
    <dxf>
      <numFmt numFmtId="10" formatCode="&quot;₹&quot;\ #,##0;[Red]&quot;₹&quot;\ \-#,##0"/>
    </dxf>
    <dxf>
      <numFmt numFmtId="10" formatCode="&quot;₹&quot;\ #,##0;[Red]&quot;₹&quot;\ \-#,##0"/>
      <alignment horizontal="center" vertical="center" textRotation="0" wrapText="0" indent="0" justifyLastLine="0" shrinkToFit="0" readingOrder="0"/>
      <border diagonalUp="0" diagonalDown="0">
        <left style="thin">
          <color indexed="64"/>
        </left>
        <right/>
        <top/>
        <bottom/>
        <vertical/>
        <horizontal/>
      </border>
    </dxf>
    <dxf>
      <numFmt numFmtId="10" formatCode="&quot;₹&quot;\ #,##0;[Red]&quot;₹&quot;\ \-#,##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0" formatCode="&quot;₹&quot;\ #,##0;[Red]&quot;₹&quot;\ \-#,##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0" formatCode="&quot;₹&quot;\ #,##0;[Red]&quot;₹&quot;\ \-#,##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0" formatCode="&quot;₹&quot;\ #,##0;[Red]&quot;₹&quot;\ \-#,##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0" formatCode="&quot;₹&quot;\ #,##0;[Red]&quot;₹&quot;\ \-#,##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0" formatCode="&quot;₹&quot;\ #,##0;[Red]&quot;₹&quot;\ \-#,##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0" formatCode="&quot;₹&quot;\ #,##0;[Red]&quot;₹&quot;\ \-#,##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0" formatCode="&quot;₹&quot;\ #,##0;[Red]&quot;₹&quot;\ \-#,##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0" formatCode="&quot;₹&quot;\ #,##0;[Red]&quot;₹&quot;\ \-#,##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0" formatCode="&quot;₹&quot;\ #,##0;[Red]&quot;₹&quot;\ \-#,##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0" formatCode="&quot;₹&quot;\ #,##0;[Red]&quot;₹&quot;\ \-#,##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0" formatCode="&quot;₹&quot;\ #,##0;[Red]&quot;₹&quot;\ \-#,##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numFmt numFmtId="10" formatCode="&quot;₹&quot;\ #,##0;[Red]&quot;₹&quot;\ \-#,##0"/>
      <alignment horizontal="center" vertical="bottom" textRotation="0" wrapText="0" indent="0" justifyLastLine="0" shrinkToFit="0" readingOrder="0"/>
    </dxf>
    <dxf>
      <numFmt numFmtId="10" formatCode="&quot;₹&quot;\ #,##0;[Red]&quot;₹&quot;\ \-#,##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0" formatCode="&quot;₹&quot;\ #,##0;[Red]&quot;₹&quot;\ \-#,##0"/>
      <alignment horizontal="center" vertical="bottom" textRotation="0" wrapText="0" indent="0" justifyLastLine="0" shrinkToFit="0" readingOrder="0"/>
    </dxf>
    <dxf>
      <numFmt numFmtId="10" formatCode="&quot;₹&quot;\ #,##0;[Red]&quot;₹&quot;\ \-#,##0"/>
      <alignment horizontal="center" vertical="bottom" textRotation="0" wrapText="0" indent="0" justifyLastLine="0" shrinkToFit="0" readingOrder="0"/>
    </dxf>
    <dxf>
      <alignment horizontal="center" vertical="bottom" textRotation="0" wrapText="0" indent="0" justifyLastLine="0" shrinkToFit="0" readingOrder="0"/>
    </dxf>
    <dxf>
      <numFmt numFmtId="10" formatCode="&quot;₹&quot;\ #,##0;[Red]&quot;₹&quot;\ \-#,##0"/>
      <alignment horizontal="center" vertical="center" textRotation="0" wrapText="0" indent="0" justifyLastLine="0" shrinkToFit="0" readingOrder="0"/>
    </dxf>
    <dxf>
      <numFmt numFmtId="0" formatCode="General"/>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numFmt numFmtId="10" formatCode="&quot;₹&quot;\ #,##0;[Red]&quot;₹&quot;\ \-#,##0"/>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5" tint="-0.249977111117893"/>
        </patternFill>
      </fill>
      <alignment horizontal="center" vertical="center" textRotation="0" wrapText="0" indent="0" justifyLastLine="0" shrinkToFit="0" readingOrder="0"/>
    </dxf>
    <dxf>
      <font>
        <b val="0"/>
        <strike val="0"/>
        <outline val="0"/>
        <shadow val="0"/>
        <u val="none"/>
        <vertAlign val="baseline"/>
        <sz val="11"/>
        <color theme="0"/>
        <name val="Calibri"/>
        <family val="2"/>
        <scheme val="minor"/>
      </font>
      <fill>
        <patternFill>
          <fgColor indexed="64"/>
          <bgColor theme="5" tint="-0.249977111117893"/>
        </patternFill>
      </fill>
      <alignment horizontal="left"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rgb="FF00B0F0"/>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Income!$A$14</c:f>
              <c:strCache>
                <c:ptCount val="1"/>
                <c:pt idx="0">
                  <c:v>Net Income</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val>
            <c:numRef>
              <c:f>Income!$B$14:$M$14</c:f>
              <c:numCache>
                <c:formatCode>"₹"#,##0_);[Red]\("₹"#,##0\)</c:formatCode>
                <c:ptCount val="12"/>
                <c:pt idx="0">
                  <c:v>40000</c:v>
                </c:pt>
                <c:pt idx="1">
                  <c:v>45000</c:v>
                </c:pt>
                <c:pt idx="2">
                  <c:v>42000</c:v>
                </c:pt>
                <c:pt idx="3">
                  <c:v>40000</c:v>
                </c:pt>
                <c:pt idx="4">
                  <c:v>50500</c:v>
                </c:pt>
                <c:pt idx="5">
                  <c:v>40000</c:v>
                </c:pt>
                <c:pt idx="6">
                  <c:v>40000</c:v>
                </c:pt>
                <c:pt idx="7">
                  <c:v>40000</c:v>
                </c:pt>
                <c:pt idx="8">
                  <c:v>41500</c:v>
                </c:pt>
                <c:pt idx="9">
                  <c:v>90000</c:v>
                </c:pt>
                <c:pt idx="10">
                  <c:v>40000</c:v>
                </c:pt>
                <c:pt idx="11">
                  <c:v>40000</c:v>
                </c:pt>
              </c:numCache>
            </c:numRef>
          </c:val>
          <c:smooth val="0"/>
          <c:extLst>
            <c:ext xmlns:c16="http://schemas.microsoft.com/office/drawing/2014/chart" uri="{C3380CC4-5D6E-409C-BE32-E72D297353CC}">
              <c16:uniqueId val="{00000000-627D-416E-BF74-A0EE6488EDAA}"/>
            </c:ext>
          </c:extLst>
        </c:ser>
        <c:dLbls>
          <c:showLegendKey val="0"/>
          <c:showVal val="0"/>
          <c:showCatName val="0"/>
          <c:showSerName val="0"/>
          <c:showPercent val="0"/>
          <c:showBubbleSize val="0"/>
        </c:dLbls>
        <c:smooth val="0"/>
        <c:axId val="569864448"/>
        <c:axId val="569864864"/>
      </c:lineChart>
      <c:catAx>
        <c:axId val="569864448"/>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864864"/>
        <c:crosses val="autoZero"/>
        <c:auto val="1"/>
        <c:lblAlgn val="ctr"/>
        <c:lblOffset val="100"/>
        <c:noMultiLvlLbl val="0"/>
      </c:catAx>
      <c:valAx>
        <c:axId val="569864864"/>
        <c:scaling>
          <c:orientation val="minMax"/>
        </c:scaling>
        <c:delete val="0"/>
        <c:axPos val="l"/>
        <c:majorGridlines>
          <c:spPr>
            <a:ln w="9525" cap="flat" cmpd="sng" algn="ctr">
              <a:solidFill>
                <a:schemeClr val="lt1">
                  <a:lumMod val="95000"/>
                  <a:alpha val="10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864448"/>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Yearly</a:t>
            </a:r>
            <a:r>
              <a:rPr lang="en-US" baseline="0"/>
              <a:t> Total</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Income!$N$7:$N$13</c:f>
              <c:numCache>
                <c:formatCode>"₹"#,##0_);[Red]\("₹"#,##0\)</c:formatCode>
                <c:ptCount val="7"/>
                <c:pt idx="0">
                  <c:v>480000</c:v>
                </c:pt>
                <c:pt idx="1">
                  <c:v>12000</c:v>
                </c:pt>
                <c:pt idx="2">
                  <c:v>2000</c:v>
                </c:pt>
                <c:pt idx="3">
                  <c:v>50000</c:v>
                </c:pt>
                <c:pt idx="4">
                  <c:v>5000</c:v>
                </c:pt>
                <c:pt idx="5">
                  <c:v>0</c:v>
                </c:pt>
                <c:pt idx="6">
                  <c:v>0</c:v>
                </c:pt>
              </c:numCache>
            </c:numRef>
          </c:val>
          <c:extLst>
            <c:ext xmlns:c16="http://schemas.microsoft.com/office/drawing/2014/chart" uri="{C3380CC4-5D6E-409C-BE32-E72D297353CC}">
              <c16:uniqueId val="{00000000-27FE-4D4A-ADE2-0DD724104F23}"/>
            </c:ext>
          </c:extLst>
        </c:ser>
        <c:dLbls>
          <c:dLblPos val="outEnd"/>
          <c:showLegendKey val="0"/>
          <c:showVal val="1"/>
          <c:showCatName val="0"/>
          <c:showSerName val="0"/>
          <c:showPercent val="0"/>
          <c:showBubbleSize val="0"/>
        </c:dLbls>
        <c:gapWidth val="115"/>
        <c:overlap val="-20"/>
        <c:axId val="569877760"/>
        <c:axId val="569876096"/>
      </c:barChart>
      <c:catAx>
        <c:axId val="569877760"/>
        <c:scaling>
          <c:orientation val="minMax"/>
        </c:scaling>
        <c:delete val="0"/>
        <c:axPos val="l"/>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876096"/>
        <c:crosses val="autoZero"/>
        <c:auto val="1"/>
        <c:lblAlgn val="ctr"/>
        <c:lblOffset val="100"/>
        <c:noMultiLvlLbl val="0"/>
      </c:catAx>
      <c:valAx>
        <c:axId val="569876096"/>
        <c:scaling>
          <c:orientation val="minMax"/>
        </c:scaling>
        <c:delete val="0"/>
        <c:axPos val="b"/>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877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Year Toal</a:t>
            </a:r>
          </a:p>
        </c:rich>
      </c:tx>
      <c:layout>
        <c:manualLayout>
          <c:xMode val="edge"/>
          <c:yMode val="edge"/>
          <c:x val="0.26908333333333334"/>
          <c:y val="2.777777777777777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Expenses!$N$3</c:f>
              <c:numCache>
                <c:formatCode>"₹"#,##0_);[Red]\("₹"#,##0\)</c:formatCode>
                <c:ptCount val="1"/>
                <c:pt idx="0">
                  <c:v>120000</c:v>
                </c:pt>
              </c:numCache>
            </c:numRef>
          </c:val>
          <c:extLst>
            <c:ext xmlns:c16="http://schemas.microsoft.com/office/drawing/2014/chart" uri="{C3380CC4-5D6E-409C-BE32-E72D297353CC}">
              <c16:uniqueId val="{00000000-8B0A-4D5D-B06D-18B086129BE3}"/>
            </c:ext>
          </c:extLst>
        </c:ser>
        <c:ser>
          <c:idx val="1"/>
          <c:order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Expenses!$N$4</c:f>
              <c:numCache>
                <c:formatCode>"₹"#,##0_);[Red]\("₹"#,##0\)</c:formatCode>
                <c:ptCount val="1"/>
                <c:pt idx="0">
                  <c:v>900</c:v>
                </c:pt>
              </c:numCache>
            </c:numRef>
          </c:val>
          <c:extLst>
            <c:ext xmlns:c16="http://schemas.microsoft.com/office/drawing/2014/chart" uri="{C3380CC4-5D6E-409C-BE32-E72D297353CC}">
              <c16:uniqueId val="{00000001-8B0A-4D5D-B06D-18B086129BE3}"/>
            </c:ext>
          </c:extLst>
        </c:ser>
        <c:ser>
          <c:idx val="2"/>
          <c:order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Expenses!$N$5</c:f>
              <c:numCache>
                <c:formatCode>"₹"#,##0_);[Red]\("₹"#,##0\)</c:formatCode>
                <c:ptCount val="1"/>
                <c:pt idx="0">
                  <c:v>56500</c:v>
                </c:pt>
              </c:numCache>
            </c:numRef>
          </c:val>
          <c:extLst>
            <c:ext xmlns:c16="http://schemas.microsoft.com/office/drawing/2014/chart" uri="{C3380CC4-5D6E-409C-BE32-E72D297353CC}">
              <c16:uniqueId val="{00000002-8B0A-4D5D-B06D-18B086129BE3}"/>
            </c:ext>
          </c:extLst>
        </c:ser>
        <c:ser>
          <c:idx val="3"/>
          <c:order val="3"/>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Expenses!$N$6</c:f>
              <c:numCache>
                <c:formatCode>"₹"#,##0_);[Red]\("₹"#,##0\)</c:formatCode>
                <c:ptCount val="1"/>
                <c:pt idx="0">
                  <c:v>0</c:v>
                </c:pt>
              </c:numCache>
            </c:numRef>
          </c:val>
          <c:extLst>
            <c:ext xmlns:c16="http://schemas.microsoft.com/office/drawing/2014/chart" uri="{C3380CC4-5D6E-409C-BE32-E72D297353CC}">
              <c16:uniqueId val="{00000003-8B0A-4D5D-B06D-18B086129BE3}"/>
            </c:ext>
          </c:extLst>
        </c:ser>
        <c:ser>
          <c:idx val="4"/>
          <c:order val="4"/>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Expenses!$N$7</c:f>
              <c:numCache>
                <c:formatCode>"₹"#,##0_);[Red]\("₹"#,##0\)</c:formatCode>
                <c:ptCount val="1"/>
                <c:pt idx="0">
                  <c:v>0</c:v>
                </c:pt>
              </c:numCache>
            </c:numRef>
          </c:val>
          <c:extLst>
            <c:ext xmlns:c16="http://schemas.microsoft.com/office/drawing/2014/chart" uri="{C3380CC4-5D6E-409C-BE32-E72D297353CC}">
              <c16:uniqueId val="{00000004-8B0A-4D5D-B06D-18B086129BE3}"/>
            </c:ext>
          </c:extLst>
        </c:ser>
        <c:ser>
          <c:idx val="5"/>
          <c:order val="5"/>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Expenses!$N$8</c:f>
              <c:numCache>
                <c:formatCode>"₹"#,##0_);[Red]\("₹"#,##0\)</c:formatCode>
                <c:ptCount val="1"/>
                <c:pt idx="0">
                  <c:v>0</c:v>
                </c:pt>
              </c:numCache>
            </c:numRef>
          </c:val>
          <c:extLst>
            <c:ext xmlns:c16="http://schemas.microsoft.com/office/drawing/2014/chart" uri="{C3380CC4-5D6E-409C-BE32-E72D297353CC}">
              <c16:uniqueId val="{00000005-8B0A-4D5D-B06D-18B086129BE3}"/>
            </c:ext>
          </c:extLst>
        </c:ser>
        <c:ser>
          <c:idx val="6"/>
          <c:order val="6"/>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Expenses!$N$9</c:f>
              <c:numCache>
                <c:formatCode>"₹"#,##0_);[Red]\("₹"#,##0\)</c:formatCode>
                <c:ptCount val="1"/>
                <c:pt idx="0">
                  <c:v>2000</c:v>
                </c:pt>
              </c:numCache>
            </c:numRef>
          </c:val>
          <c:extLst>
            <c:ext xmlns:c16="http://schemas.microsoft.com/office/drawing/2014/chart" uri="{C3380CC4-5D6E-409C-BE32-E72D297353CC}">
              <c16:uniqueId val="{00000006-8B0A-4D5D-B06D-18B086129BE3}"/>
            </c:ext>
          </c:extLst>
        </c:ser>
        <c:ser>
          <c:idx val="7"/>
          <c:order val="7"/>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Expenses!$N$10</c:f>
              <c:numCache>
                <c:formatCode>"₹"#,##0_);[Red]\("₹"#,##0\)</c:formatCode>
                <c:ptCount val="1"/>
                <c:pt idx="0">
                  <c:v>0</c:v>
                </c:pt>
              </c:numCache>
            </c:numRef>
          </c:val>
          <c:extLst>
            <c:ext xmlns:c16="http://schemas.microsoft.com/office/drawing/2014/chart" uri="{C3380CC4-5D6E-409C-BE32-E72D297353CC}">
              <c16:uniqueId val="{00000007-8B0A-4D5D-B06D-18B086129BE3}"/>
            </c:ext>
          </c:extLst>
        </c:ser>
        <c:ser>
          <c:idx val="8"/>
          <c:order val="8"/>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Expenses!$N$11</c:f>
              <c:numCache>
                <c:formatCode>"₹"#,##0_);[Red]\("₹"#,##0\)</c:formatCode>
                <c:ptCount val="1"/>
                <c:pt idx="0">
                  <c:v>6000</c:v>
                </c:pt>
              </c:numCache>
            </c:numRef>
          </c:val>
          <c:extLst>
            <c:ext xmlns:c16="http://schemas.microsoft.com/office/drawing/2014/chart" uri="{C3380CC4-5D6E-409C-BE32-E72D297353CC}">
              <c16:uniqueId val="{00000008-8B0A-4D5D-B06D-18B086129BE3}"/>
            </c:ext>
          </c:extLst>
        </c:ser>
        <c:ser>
          <c:idx val="9"/>
          <c:order val="9"/>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Expenses!$N$12</c:f>
              <c:numCache>
                <c:formatCode>"₹"#,##0_);[Red]\("₹"#,##0\)</c:formatCode>
                <c:ptCount val="1"/>
                <c:pt idx="0">
                  <c:v>2500</c:v>
                </c:pt>
              </c:numCache>
            </c:numRef>
          </c:val>
          <c:extLst>
            <c:ext xmlns:c16="http://schemas.microsoft.com/office/drawing/2014/chart" uri="{C3380CC4-5D6E-409C-BE32-E72D297353CC}">
              <c16:uniqueId val="{00000009-8B0A-4D5D-B06D-18B086129BE3}"/>
            </c:ext>
          </c:extLst>
        </c:ser>
        <c:ser>
          <c:idx val="10"/>
          <c:order val="1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Expenses!$N$13</c:f>
              <c:numCache>
                <c:formatCode>"₹"#,##0_);[Red]\("₹"#,##0\)</c:formatCode>
                <c:ptCount val="1"/>
                <c:pt idx="0">
                  <c:v>0</c:v>
                </c:pt>
              </c:numCache>
            </c:numRef>
          </c:val>
          <c:extLst>
            <c:ext xmlns:c16="http://schemas.microsoft.com/office/drawing/2014/chart" uri="{C3380CC4-5D6E-409C-BE32-E72D297353CC}">
              <c16:uniqueId val="{0000000A-8B0A-4D5D-B06D-18B086129BE3}"/>
            </c:ext>
          </c:extLst>
        </c:ser>
        <c:ser>
          <c:idx val="11"/>
          <c:order val="11"/>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Expenses!$N$14</c:f>
              <c:numCache>
                <c:formatCode>"₹"#,##0_);[Red]\("₹"#,##0\)</c:formatCode>
                <c:ptCount val="1"/>
                <c:pt idx="0">
                  <c:v>2000</c:v>
                </c:pt>
              </c:numCache>
            </c:numRef>
          </c:val>
          <c:extLst>
            <c:ext xmlns:c16="http://schemas.microsoft.com/office/drawing/2014/chart" uri="{C3380CC4-5D6E-409C-BE32-E72D297353CC}">
              <c16:uniqueId val="{0000000B-8B0A-4D5D-B06D-18B086129BE3}"/>
            </c:ext>
          </c:extLst>
        </c:ser>
        <c:ser>
          <c:idx val="12"/>
          <c:order val="12"/>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Expenses!$N$15</c:f>
              <c:numCache>
                <c:formatCode>"₹"#,##0_);[Red]\("₹"#,##0\)</c:formatCode>
                <c:ptCount val="1"/>
                <c:pt idx="0">
                  <c:v>0</c:v>
                </c:pt>
              </c:numCache>
            </c:numRef>
          </c:val>
          <c:extLst>
            <c:ext xmlns:c16="http://schemas.microsoft.com/office/drawing/2014/chart" uri="{C3380CC4-5D6E-409C-BE32-E72D297353CC}">
              <c16:uniqueId val="{0000000C-8B0A-4D5D-B06D-18B086129BE3}"/>
            </c:ext>
          </c:extLst>
        </c:ser>
        <c:ser>
          <c:idx val="13"/>
          <c:order val="13"/>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Expenses!$N$16</c:f>
              <c:numCache>
                <c:formatCode>"₹"#,##0_);[Red]\("₹"#,##0\)</c:formatCode>
                <c:ptCount val="1"/>
                <c:pt idx="0">
                  <c:v>0</c:v>
                </c:pt>
              </c:numCache>
            </c:numRef>
          </c:val>
          <c:extLst>
            <c:ext xmlns:c16="http://schemas.microsoft.com/office/drawing/2014/chart" uri="{C3380CC4-5D6E-409C-BE32-E72D297353CC}">
              <c16:uniqueId val="{0000000D-8B0A-4D5D-B06D-18B086129BE3}"/>
            </c:ext>
          </c:extLst>
        </c:ser>
        <c:ser>
          <c:idx val="14"/>
          <c:order val="14"/>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Expenses!$N$17</c:f>
              <c:numCache>
                <c:formatCode>"₹"#,##0_);[Red]\("₹"#,##0\)</c:formatCode>
                <c:ptCount val="1"/>
                <c:pt idx="0">
                  <c:v>0</c:v>
                </c:pt>
              </c:numCache>
            </c:numRef>
          </c:val>
          <c:extLst>
            <c:ext xmlns:c16="http://schemas.microsoft.com/office/drawing/2014/chart" uri="{C3380CC4-5D6E-409C-BE32-E72D297353CC}">
              <c16:uniqueId val="{0000000E-8B0A-4D5D-B06D-18B086129BE3}"/>
            </c:ext>
          </c:extLst>
        </c:ser>
        <c:ser>
          <c:idx val="15"/>
          <c:order val="15"/>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Expenses!$N$18</c:f>
              <c:numCache>
                <c:formatCode>"₹"#,##0_);[Red]\("₹"#,##0\)</c:formatCode>
                <c:ptCount val="1"/>
                <c:pt idx="0">
                  <c:v>0</c:v>
                </c:pt>
              </c:numCache>
            </c:numRef>
          </c:val>
          <c:extLst>
            <c:ext xmlns:c16="http://schemas.microsoft.com/office/drawing/2014/chart" uri="{C3380CC4-5D6E-409C-BE32-E72D297353CC}">
              <c16:uniqueId val="{0000000F-8B0A-4D5D-B06D-18B086129BE3}"/>
            </c:ext>
          </c:extLst>
        </c:ser>
        <c:dLbls>
          <c:dLblPos val="outEnd"/>
          <c:showLegendKey val="0"/>
          <c:showVal val="1"/>
          <c:showCatName val="0"/>
          <c:showSerName val="0"/>
          <c:showPercent val="0"/>
          <c:showBubbleSize val="0"/>
        </c:dLbls>
        <c:gapWidth val="115"/>
        <c:overlap val="-20"/>
        <c:axId val="569886496"/>
        <c:axId val="569884416"/>
      </c:barChart>
      <c:catAx>
        <c:axId val="569886496"/>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884416"/>
        <c:crosses val="autoZero"/>
        <c:auto val="1"/>
        <c:lblAlgn val="ctr"/>
        <c:lblOffset val="100"/>
        <c:noMultiLvlLbl val="0"/>
      </c:catAx>
      <c:valAx>
        <c:axId val="569884416"/>
        <c:scaling>
          <c:orientation val="minMax"/>
        </c:scaling>
        <c:delete val="0"/>
        <c:axPos val="b"/>
        <c:majorGridlines>
          <c:spPr>
            <a:ln w="9525" cap="flat" cmpd="sng" algn="ctr">
              <a:solidFill>
                <a:schemeClr val="lt1">
                  <a:lumMod val="95000"/>
                  <a:alpha val="10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8864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Savings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Savings!$B$2</c:f>
              <c:strCache>
                <c:ptCount val="1"/>
                <c:pt idx="0">
                  <c:v>Jan</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Savings!$B$3</c:f>
              <c:numCache>
                <c:formatCode>"₹"#,##0_);[Red]\("₹"#,##0\)</c:formatCode>
                <c:ptCount val="1"/>
                <c:pt idx="0">
                  <c:v>21100</c:v>
                </c:pt>
              </c:numCache>
            </c:numRef>
          </c:val>
          <c:extLst>
            <c:ext xmlns:c16="http://schemas.microsoft.com/office/drawing/2014/chart" uri="{C3380CC4-5D6E-409C-BE32-E72D297353CC}">
              <c16:uniqueId val="{00000000-874F-4CD5-ADA0-949864C3617C}"/>
            </c:ext>
          </c:extLst>
        </c:ser>
        <c:ser>
          <c:idx val="1"/>
          <c:order val="1"/>
          <c:tx>
            <c:strRef>
              <c:f>Savings!$C$2</c:f>
              <c:strCache>
                <c:ptCount val="1"/>
                <c:pt idx="0">
                  <c:v>Feb</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Savings!$C$3</c:f>
              <c:numCache>
                <c:formatCode>"₹"#,##0_);[Red]\("₹"#,##0\)</c:formatCode>
                <c:ptCount val="1"/>
                <c:pt idx="0">
                  <c:v>30000</c:v>
                </c:pt>
              </c:numCache>
            </c:numRef>
          </c:val>
          <c:extLst>
            <c:ext xmlns:c16="http://schemas.microsoft.com/office/drawing/2014/chart" uri="{C3380CC4-5D6E-409C-BE32-E72D297353CC}">
              <c16:uniqueId val="{00000001-874F-4CD5-ADA0-949864C3617C}"/>
            </c:ext>
          </c:extLst>
        </c:ser>
        <c:ser>
          <c:idx val="2"/>
          <c:order val="2"/>
          <c:tx>
            <c:strRef>
              <c:f>Savings!$D$2</c:f>
              <c:strCache>
                <c:ptCount val="1"/>
                <c:pt idx="0">
                  <c:v>Mar</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Savings!$D$3</c:f>
              <c:numCache>
                <c:formatCode>"₹"#,##0_);[Red]\("₹"#,##0\)</c:formatCode>
                <c:ptCount val="1"/>
                <c:pt idx="0">
                  <c:v>27000</c:v>
                </c:pt>
              </c:numCache>
            </c:numRef>
          </c:val>
          <c:extLst>
            <c:ext xmlns:c16="http://schemas.microsoft.com/office/drawing/2014/chart" uri="{C3380CC4-5D6E-409C-BE32-E72D297353CC}">
              <c16:uniqueId val="{00000002-874F-4CD5-ADA0-949864C3617C}"/>
            </c:ext>
          </c:extLst>
        </c:ser>
        <c:ser>
          <c:idx val="3"/>
          <c:order val="3"/>
          <c:tx>
            <c:strRef>
              <c:f>Savings!$E$2</c:f>
              <c:strCache>
                <c:ptCount val="1"/>
                <c:pt idx="0">
                  <c:v>Apr</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Savings!$E$3</c:f>
              <c:numCache>
                <c:formatCode>"₹"#,##0_);[Red]\("₹"#,##0\)</c:formatCode>
                <c:ptCount val="1"/>
                <c:pt idx="0">
                  <c:v>25000</c:v>
                </c:pt>
              </c:numCache>
            </c:numRef>
          </c:val>
          <c:extLst>
            <c:ext xmlns:c16="http://schemas.microsoft.com/office/drawing/2014/chart" uri="{C3380CC4-5D6E-409C-BE32-E72D297353CC}">
              <c16:uniqueId val="{00000003-874F-4CD5-ADA0-949864C3617C}"/>
            </c:ext>
          </c:extLst>
        </c:ser>
        <c:ser>
          <c:idx val="4"/>
          <c:order val="4"/>
          <c:tx>
            <c:strRef>
              <c:f>Savings!$F$2</c:f>
              <c:strCache>
                <c:ptCount val="1"/>
                <c:pt idx="0">
                  <c:v>May</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Savings!$F$3</c:f>
              <c:numCache>
                <c:formatCode>"₹"#,##0_);[Red]\("₹"#,##0\)</c:formatCode>
                <c:ptCount val="1"/>
                <c:pt idx="0">
                  <c:v>35500</c:v>
                </c:pt>
              </c:numCache>
            </c:numRef>
          </c:val>
          <c:extLst>
            <c:ext xmlns:c16="http://schemas.microsoft.com/office/drawing/2014/chart" uri="{C3380CC4-5D6E-409C-BE32-E72D297353CC}">
              <c16:uniqueId val="{00000004-874F-4CD5-ADA0-949864C3617C}"/>
            </c:ext>
          </c:extLst>
        </c:ser>
        <c:ser>
          <c:idx val="5"/>
          <c:order val="5"/>
          <c:tx>
            <c:strRef>
              <c:f>Savings!$G$2</c:f>
              <c:strCache>
                <c:ptCount val="1"/>
                <c:pt idx="0">
                  <c:v>Jun</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Savings!$G$3</c:f>
              <c:numCache>
                <c:formatCode>"₹"#,##0_);[Red]\("₹"#,##0\)</c:formatCode>
                <c:ptCount val="1"/>
                <c:pt idx="0">
                  <c:v>25000</c:v>
                </c:pt>
              </c:numCache>
            </c:numRef>
          </c:val>
          <c:extLst>
            <c:ext xmlns:c16="http://schemas.microsoft.com/office/drawing/2014/chart" uri="{C3380CC4-5D6E-409C-BE32-E72D297353CC}">
              <c16:uniqueId val="{00000005-874F-4CD5-ADA0-949864C3617C}"/>
            </c:ext>
          </c:extLst>
        </c:ser>
        <c:ser>
          <c:idx val="6"/>
          <c:order val="6"/>
          <c:tx>
            <c:strRef>
              <c:f>Savings!$H$2</c:f>
              <c:strCache>
                <c:ptCount val="1"/>
                <c:pt idx="0">
                  <c:v>Jul</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Savings!$H$3</c:f>
              <c:numCache>
                <c:formatCode>"₹"#,##0_);[Red]\("₹"#,##0\)</c:formatCode>
                <c:ptCount val="1"/>
                <c:pt idx="0">
                  <c:v>25000</c:v>
                </c:pt>
              </c:numCache>
            </c:numRef>
          </c:val>
          <c:extLst>
            <c:ext xmlns:c16="http://schemas.microsoft.com/office/drawing/2014/chart" uri="{C3380CC4-5D6E-409C-BE32-E72D297353CC}">
              <c16:uniqueId val="{00000006-874F-4CD5-ADA0-949864C3617C}"/>
            </c:ext>
          </c:extLst>
        </c:ser>
        <c:ser>
          <c:idx val="7"/>
          <c:order val="7"/>
          <c:tx>
            <c:strRef>
              <c:f>Savings!$I$2</c:f>
              <c:strCache>
                <c:ptCount val="1"/>
                <c:pt idx="0">
                  <c:v>Aug</c:v>
                </c:pt>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Savings!$I$3</c:f>
              <c:numCache>
                <c:formatCode>"₹"#,##0_);[Red]\("₹"#,##0\)</c:formatCode>
                <c:ptCount val="1"/>
                <c:pt idx="0">
                  <c:v>25000</c:v>
                </c:pt>
              </c:numCache>
            </c:numRef>
          </c:val>
          <c:extLst>
            <c:ext xmlns:c16="http://schemas.microsoft.com/office/drawing/2014/chart" uri="{C3380CC4-5D6E-409C-BE32-E72D297353CC}">
              <c16:uniqueId val="{00000007-874F-4CD5-ADA0-949864C3617C}"/>
            </c:ext>
          </c:extLst>
        </c:ser>
        <c:ser>
          <c:idx val="8"/>
          <c:order val="8"/>
          <c:tx>
            <c:strRef>
              <c:f>Savings!$J$2</c:f>
              <c:strCache>
                <c:ptCount val="1"/>
                <c:pt idx="0">
                  <c:v>Sep</c:v>
                </c:pt>
              </c:strCache>
            </c:strRef>
          </c:tx>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Savings!$J$3</c:f>
              <c:numCache>
                <c:formatCode>"₹"#,##0_);[Red]\("₹"#,##0\)</c:formatCode>
                <c:ptCount val="1"/>
                <c:pt idx="0">
                  <c:v>26500</c:v>
                </c:pt>
              </c:numCache>
            </c:numRef>
          </c:val>
          <c:extLst>
            <c:ext xmlns:c16="http://schemas.microsoft.com/office/drawing/2014/chart" uri="{C3380CC4-5D6E-409C-BE32-E72D297353CC}">
              <c16:uniqueId val="{00000008-874F-4CD5-ADA0-949864C3617C}"/>
            </c:ext>
          </c:extLst>
        </c:ser>
        <c:ser>
          <c:idx val="9"/>
          <c:order val="9"/>
          <c:tx>
            <c:strRef>
              <c:f>Savings!$K$2</c:f>
              <c:strCache>
                <c:ptCount val="1"/>
                <c:pt idx="0">
                  <c:v>Oct</c:v>
                </c:pt>
              </c:strCache>
            </c:strRef>
          </c:tx>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Savings!$K$3</c:f>
              <c:numCache>
                <c:formatCode>"₹"#,##0_);[Red]\("₹"#,##0\)</c:formatCode>
                <c:ptCount val="1"/>
                <c:pt idx="0">
                  <c:v>75000</c:v>
                </c:pt>
              </c:numCache>
            </c:numRef>
          </c:val>
          <c:extLst>
            <c:ext xmlns:c16="http://schemas.microsoft.com/office/drawing/2014/chart" uri="{C3380CC4-5D6E-409C-BE32-E72D297353CC}">
              <c16:uniqueId val="{00000009-874F-4CD5-ADA0-949864C3617C}"/>
            </c:ext>
          </c:extLst>
        </c:ser>
        <c:ser>
          <c:idx val="10"/>
          <c:order val="10"/>
          <c:tx>
            <c:strRef>
              <c:f>Savings!$L$2</c:f>
              <c:strCache>
                <c:ptCount val="1"/>
                <c:pt idx="0">
                  <c:v>Nov</c:v>
                </c:pt>
              </c:strCache>
            </c:strRef>
          </c:tx>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Savings!$L$3</c:f>
              <c:numCache>
                <c:formatCode>"₹"#,##0_);[Red]\("₹"#,##0\)</c:formatCode>
                <c:ptCount val="1"/>
                <c:pt idx="0">
                  <c:v>25000</c:v>
                </c:pt>
              </c:numCache>
            </c:numRef>
          </c:val>
          <c:extLst>
            <c:ext xmlns:c16="http://schemas.microsoft.com/office/drawing/2014/chart" uri="{C3380CC4-5D6E-409C-BE32-E72D297353CC}">
              <c16:uniqueId val="{0000000A-874F-4CD5-ADA0-949864C3617C}"/>
            </c:ext>
          </c:extLst>
        </c:ser>
        <c:ser>
          <c:idx val="11"/>
          <c:order val="11"/>
          <c:tx>
            <c:strRef>
              <c:f>Savings!$M$2</c:f>
              <c:strCache>
                <c:ptCount val="1"/>
                <c:pt idx="0">
                  <c:v>Dec</c:v>
                </c:pt>
              </c:strCache>
            </c:strRef>
          </c:tx>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Savings!$M$3</c:f>
              <c:numCache>
                <c:formatCode>"₹"#,##0_);[Red]\("₹"#,##0\)</c:formatCode>
                <c:ptCount val="1"/>
                <c:pt idx="0">
                  <c:v>19000</c:v>
                </c:pt>
              </c:numCache>
            </c:numRef>
          </c:val>
          <c:extLst>
            <c:ext xmlns:c16="http://schemas.microsoft.com/office/drawing/2014/chart" uri="{C3380CC4-5D6E-409C-BE32-E72D297353CC}">
              <c16:uniqueId val="{0000000B-874F-4CD5-ADA0-949864C3617C}"/>
            </c:ext>
          </c:extLst>
        </c:ser>
        <c:dLbls>
          <c:dLblPos val="outEnd"/>
          <c:showLegendKey val="0"/>
          <c:showVal val="1"/>
          <c:showCatName val="0"/>
          <c:showSerName val="0"/>
          <c:showPercent val="0"/>
          <c:showBubbleSize val="0"/>
        </c:dLbls>
        <c:gapWidth val="100"/>
        <c:overlap val="-24"/>
        <c:axId val="658542528"/>
        <c:axId val="658554176"/>
      </c:barChart>
      <c:catAx>
        <c:axId val="658542528"/>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58554176"/>
        <c:crosses val="autoZero"/>
        <c:auto val="1"/>
        <c:lblAlgn val="ctr"/>
        <c:lblOffset val="100"/>
        <c:noMultiLvlLbl val="0"/>
      </c:catAx>
      <c:valAx>
        <c:axId val="658554176"/>
        <c:scaling>
          <c:orientation val="minMax"/>
        </c:scaling>
        <c:delete val="0"/>
        <c:axPos val="l"/>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58542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 dir="row">_xlchart.v2.0</cx:f>
      </cx:numDim>
    </cx:data>
  </cx:chartData>
  <cx:chart>
    <cx:title pos="t" align="ctr" overlay="0">
      <cx:tx>
        <cx:txData>
          <cx:v>Net Expenses</cx:v>
        </cx:txData>
      </cx:tx>
      <cx:txPr>
        <a:bodyPr spcFirstLastPara="1" vertOverflow="ellipsis" horzOverflow="overflow" wrap="square" lIns="0" tIns="0" rIns="0" bIns="0" anchor="ctr" anchorCtr="1"/>
        <a:lstStyle/>
        <a:p>
          <a:pPr algn="ctr" rtl="0">
            <a:defRPr/>
          </a:pPr>
          <a:r>
            <a:rPr lang="en-US" sz="1600" b="1" i="0" u="none" strike="noStrike" spc="100" baseline="0">
              <a:solidFill>
                <a:sysClr val="window" lastClr="FFFFFF">
                  <a:lumMod val="95000"/>
                </a:sysClr>
              </a:solidFill>
              <a:effectLst>
                <a:outerShdw blurRad="50800" dist="38100" dir="5400000" algn="t" rotWithShape="0">
                  <a:prstClr val="black">
                    <a:alpha val="40000"/>
                  </a:prstClr>
                </a:outerShdw>
              </a:effectLst>
              <a:latin typeface="Calibri" panose="020F0502020204030204"/>
            </a:rPr>
            <a:t>Net Expenses</a:t>
          </a:r>
        </a:p>
      </cx:txPr>
    </cx:title>
    <cx:plotArea>
      <cx:plotAreaRegion>
        <cx:series layoutId="funnel" uniqueId="{7308F297-7251-4244-B9C3-02E13E6ABF0F}">
          <cx:spPr>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n>
              <a:solidFill>
                <a:schemeClr val="accent1">
                  <a:alpha val="95000"/>
                </a:schemeClr>
              </a:solidFill>
            </a:ln>
          </cx:spPr>
          <cx:dataLabels>
            <cx:numFmt formatCode="₹ #,##0;₹ -#,##0" sourceLinked="0"/>
            <cx:visibility seriesName="0" categoryName="0" value="1"/>
            <cx:separator>, </cx:separator>
          </cx:dataLabels>
          <cx:dataId val="0"/>
        </cx:series>
      </cx:plotAreaRegion>
      <cx:axis id="0">
        <cx:catScaling gapWidth="0.5"/>
        <cx:tickLabels/>
      </cx:axis>
    </cx:plotArea>
  </cx:chart>
</cx: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42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xdr:col>
      <xdr:colOff>619719</xdr:colOff>
      <xdr:row>0</xdr:row>
      <xdr:rowOff>27491</xdr:rowOff>
    </xdr:from>
    <xdr:to>
      <xdr:col>9</xdr:col>
      <xdr:colOff>25165</xdr:colOff>
      <xdr:row>4</xdr:row>
      <xdr:rowOff>168519</xdr:rowOff>
    </xdr:to>
    <mc:AlternateContent xmlns:mc="http://schemas.openxmlformats.org/markup-compatibility/2006" xmlns:sle15="http://schemas.microsoft.com/office/drawing/2012/slicer">
      <mc:Choice Requires="sle15">
        <xdr:graphicFrame macro="">
          <xdr:nvGraphicFramePr>
            <xdr:cNvPr id="2" name="Filter">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Filter"/>
            </a:graphicData>
          </a:graphic>
        </xdr:graphicFrame>
      </mc:Choice>
      <mc:Fallback xmlns="">
        <xdr:sp macro="" textlink="">
          <xdr:nvSpPr>
            <xdr:cNvPr id="0" name=""/>
            <xdr:cNvSpPr>
              <a:spLocks noTextEdit="1"/>
            </xdr:cNvSpPr>
          </xdr:nvSpPr>
          <xdr:spPr>
            <a:xfrm>
              <a:off x="1867494" y="27491"/>
              <a:ext cx="5120446" cy="90302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0</xdr:colOff>
      <xdr:row>14</xdr:row>
      <xdr:rowOff>86457</xdr:rowOff>
    </xdr:from>
    <xdr:to>
      <xdr:col>10</xdr:col>
      <xdr:colOff>174380</xdr:colOff>
      <xdr:row>27</xdr:row>
      <xdr:rowOff>157528</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185531</xdr:colOff>
      <xdr:row>14</xdr:row>
      <xdr:rowOff>82826</xdr:rowOff>
    </xdr:from>
    <xdr:to>
      <xdr:col>16</xdr:col>
      <xdr:colOff>140805</xdr:colOff>
      <xdr:row>27</xdr:row>
      <xdr:rowOff>149086</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14</xdr:col>
          <xdr:colOff>66675</xdr:colOff>
          <xdr:row>5</xdr:row>
          <xdr:rowOff>0</xdr:rowOff>
        </xdr:from>
        <xdr:to>
          <xdr:col>15</xdr:col>
          <xdr:colOff>504825</xdr:colOff>
          <xdr:row>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Expneses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xdr:colOff>
          <xdr:row>6</xdr:row>
          <xdr:rowOff>142875</xdr:rowOff>
        </xdr:from>
        <xdr:to>
          <xdr:col>15</xdr:col>
          <xdr:colOff>504825</xdr:colOff>
          <xdr:row>8</xdr:row>
          <xdr:rowOff>76200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57150</xdr:colOff>
          <xdr:row>8</xdr:row>
          <xdr:rowOff>95250</xdr:rowOff>
        </xdr:from>
        <xdr:to>
          <xdr:col>15</xdr:col>
          <xdr:colOff>504825</xdr:colOff>
          <xdr:row>10</xdr:row>
          <xdr:rowOff>28575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Savings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54348</xdr:colOff>
      <xdr:row>19</xdr:row>
      <xdr:rowOff>29696</xdr:rowOff>
    </xdr:from>
    <xdr:to>
      <xdr:col>7</xdr:col>
      <xdr:colOff>33618</xdr:colOff>
      <xdr:row>37</xdr:row>
      <xdr:rowOff>100853</xdr:rowOff>
    </xdr:to>
    <mc:AlternateContent xmlns:mc="http://schemas.openxmlformats.org/markup-compatibility/2006">
      <mc:Choice xmlns:cx2="http://schemas.microsoft.com/office/drawing/2015/10/21/chartex" Requires="cx2">
        <xdr:graphicFrame macro="">
          <xdr:nvGraphicFramePr>
            <xdr:cNvPr id="15" name="Chart 14">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4348" y="3649196"/>
              <a:ext cx="5494245" cy="350015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95529</xdr:colOff>
      <xdr:row>20</xdr:row>
      <xdr:rowOff>151279</xdr:rowOff>
    </xdr:from>
    <xdr:to>
      <xdr:col>13</xdr:col>
      <xdr:colOff>364470</xdr:colOff>
      <xdr:row>35</xdr:row>
      <xdr:rowOff>36979</xdr:rowOff>
    </xdr:to>
    <xdr:graphicFrame macro="">
      <xdr:nvGraphicFramePr>
        <xdr:cNvPr id="16" name="Chart 15">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14</xdr:col>
      <xdr:colOff>28573</xdr:colOff>
      <xdr:row>0</xdr:row>
      <xdr:rowOff>19049</xdr:rowOff>
    </xdr:from>
    <xdr:to>
      <xdr:col>19</xdr:col>
      <xdr:colOff>180975</xdr:colOff>
      <xdr:row>15</xdr:row>
      <xdr:rowOff>9525</xdr:rowOff>
    </xdr:to>
    <mc:AlternateContent xmlns:mc="http://schemas.openxmlformats.org/markup-compatibility/2006" xmlns:sle15="http://schemas.microsoft.com/office/drawing/2012/slicer">
      <mc:Choice Requires="sle15">
        <xdr:graphicFrame macro="">
          <xdr:nvGraphicFramePr>
            <xdr:cNvPr id="17" name="Year">
              <a:extLst>
                <a:ext uri="{FF2B5EF4-FFF2-40B4-BE49-F238E27FC236}">
                  <a16:creationId xmlns:a16="http://schemas.microsoft.com/office/drawing/2014/main" id="{00000000-0008-0000-0100-000011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515598" y="19049"/>
              <a:ext cx="3200402" cy="284797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15</xdr:col>
          <xdr:colOff>114300</xdr:colOff>
          <xdr:row>17</xdr:row>
          <xdr:rowOff>0</xdr:rowOff>
        </xdr:from>
        <xdr:to>
          <xdr:col>16</xdr:col>
          <xdr:colOff>552450</xdr:colOff>
          <xdr:row>18</xdr:row>
          <xdr:rowOff>123825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18</xdr:row>
          <xdr:rowOff>142875</xdr:rowOff>
        </xdr:from>
        <xdr:to>
          <xdr:col>16</xdr:col>
          <xdr:colOff>552450</xdr:colOff>
          <xdr:row>20</xdr:row>
          <xdr:rowOff>76200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20</xdr:row>
          <xdr:rowOff>95250</xdr:rowOff>
        </xdr:from>
        <xdr:to>
          <xdr:col>16</xdr:col>
          <xdr:colOff>552450</xdr:colOff>
          <xdr:row>22</xdr:row>
          <xdr:rowOff>28575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Savings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95250</xdr:colOff>
          <xdr:row>2</xdr:row>
          <xdr:rowOff>0</xdr:rowOff>
        </xdr:from>
        <xdr:to>
          <xdr:col>10</xdr:col>
          <xdr:colOff>533400</xdr:colOff>
          <xdr:row>3</xdr:row>
          <xdr:rowOff>123825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Expneses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3</xdr:row>
          <xdr:rowOff>133350</xdr:rowOff>
        </xdr:from>
        <xdr:to>
          <xdr:col>10</xdr:col>
          <xdr:colOff>533400</xdr:colOff>
          <xdr:row>5</xdr:row>
          <xdr:rowOff>66675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5</xdr:row>
          <xdr:rowOff>85725</xdr:rowOff>
        </xdr:from>
        <xdr:to>
          <xdr:col>10</xdr:col>
          <xdr:colOff>533400</xdr:colOff>
          <xdr:row>7</xdr:row>
          <xdr:rowOff>19050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Savings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1058740</xdr:colOff>
      <xdr:row>3</xdr:row>
      <xdr:rowOff>53486</xdr:rowOff>
    </xdr:from>
    <xdr:to>
      <xdr:col>13</xdr:col>
      <xdr:colOff>21981</xdr:colOff>
      <xdr:row>17</xdr:row>
      <xdr:rowOff>129686</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14</xdr:col>
          <xdr:colOff>161925</xdr:colOff>
          <xdr:row>4</xdr:row>
          <xdr:rowOff>9525</xdr:rowOff>
        </xdr:from>
        <xdr:to>
          <xdr:col>15</xdr:col>
          <xdr:colOff>600075</xdr:colOff>
          <xdr:row>5</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Expneses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161925</xdr:colOff>
          <xdr:row>5</xdr:row>
          <xdr:rowOff>152400</xdr:rowOff>
        </xdr:from>
        <xdr:to>
          <xdr:col>15</xdr:col>
          <xdr:colOff>600075</xdr:colOff>
          <xdr:row>7</xdr:row>
          <xdr:rowOff>85725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7</xdr:row>
          <xdr:rowOff>95250</xdr:rowOff>
        </xdr:from>
        <xdr:to>
          <xdr:col>15</xdr:col>
          <xdr:colOff>600075</xdr:colOff>
          <xdr:row>9</xdr:row>
          <xdr:rowOff>28575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Income</a:t>
              </a:r>
            </a:p>
          </xdr:txBody>
        </xdr:sp>
        <xdr:clientData fPrintsWithSheet="0"/>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 xr10:uid="{4CE777C5-9CDB-47A4-84E3-53FFE3585334}" sourceName="Source">
  <extLst>
    <x:ext xmlns:x15="http://schemas.microsoft.com/office/spreadsheetml/2010/11/main" uri="{2F2917AC-EB37-4324-AD4E-5DD8C200BD13}">
      <x15:tableSlicerCache tableId="1" column="1"/>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AE4EE559-4948-427F-A856-CA4D860CCA32}" sourceName="Year">
  <extLst>
    <x:ext xmlns:x15="http://schemas.microsoft.com/office/spreadsheetml/2010/11/main" uri="{2F2917AC-EB37-4324-AD4E-5DD8C200BD13}">
      <x15:tableSlicerCache tableId="3" column="1"/>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lter" xr10:uid="{2F2F98BA-3000-4B31-B7FA-BF0FB59E2DB5}" cache="Slicer_Source" caption="Filter" columnCount="4" style="SlicerStyleLight4"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13F82AA-D916-4AAF-B3CE-A79DEF1C7473}" cache="Slicer_Year" caption="General Expenses" columnCount="2"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02659-9B8B-4815-B47E-4A538D929CC8}" name="Income" displayName="Income" ref="A6:N14" totalsRowCount="1" headerRowDxfId="66">
  <autoFilter ref="A6:N13" xr:uid="{4EA02659-9B8B-4815-B47E-4A538D929CC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C30D34FF-49C1-4F5D-B8DB-92FCF29AF427}" name="Source" totalsRowLabel="Net Income" dataDxfId="65" totalsRowDxfId="64"/>
    <tableColumn id="2" xr3:uid="{248245A0-3891-47D3-BD1F-78115A01EF22}" name="Jan" totalsRowFunction="sum" dataDxfId="63" totalsRowDxfId="62"/>
    <tableColumn id="3" xr3:uid="{2169603D-B6C4-4B2E-AB69-5E3CDD5B728A}" name="Feb" totalsRowFunction="sum" dataDxfId="61" totalsRowDxfId="60"/>
    <tableColumn id="4" xr3:uid="{C7457A83-464E-4278-8D1F-5B03C51EEF79}" name="Mar" totalsRowFunction="sum" dataDxfId="59" totalsRowDxfId="58"/>
    <tableColumn id="5" xr3:uid="{CE0750B4-5FBC-4680-9501-7578356ECF2E}" name="Apr" totalsRowFunction="sum" dataDxfId="57" totalsRowDxfId="56"/>
    <tableColumn id="6" xr3:uid="{8F5CF35C-8620-4A75-99B0-F96F186767F8}" name="May" totalsRowFunction="sum" dataDxfId="55" totalsRowDxfId="54"/>
    <tableColumn id="7" xr3:uid="{485C705B-66C2-4FA7-95FF-AABD9F5D8535}" name="Jun" totalsRowFunction="sum" dataDxfId="53" totalsRowDxfId="52"/>
    <tableColumn id="8" xr3:uid="{B067509A-C379-472A-9F57-0ECC861BBE66}" name="Jul" totalsRowFunction="sum" dataDxfId="51" totalsRowDxfId="50"/>
    <tableColumn id="9" xr3:uid="{F3F822CC-CAE9-4E0C-8D12-38FB77C5C240}" name="Aug" totalsRowFunction="sum" dataDxfId="49" totalsRowDxfId="48"/>
    <tableColumn id="10" xr3:uid="{7838823E-8D08-4672-8F09-7D6D5C62B838}" name="Sep" totalsRowFunction="sum" dataDxfId="47" totalsRowDxfId="46"/>
    <tableColumn id="11" xr3:uid="{5FCCDD97-67FF-4458-908F-D02DD37E48FB}" name="Oct" totalsRowFunction="sum" dataDxfId="45" totalsRowDxfId="44"/>
    <tableColumn id="12" xr3:uid="{E1D2EEE9-2E0E-4B3B-9603-481B085475C5}" name="Nov" totalsRowFunction="sum" dataDxfId="43" totalsRowDxfId="42"/>
    <tableColumn id="13" xr3:uid="{2F7DFABA-18B5-4987-889D-96570A369A9C}" name="Dec" totalsRowFunction="sum" dataDxfId="41" totalsRowDxfId="40"/>
    <tableColumn id="14" xr3:uid="{BFA90813-F5D6-40CE-89BB-A31B63C7739D}" name="Total" totalsRowFunction="sum" dataDxfId="39" totalsRowDxfId="38">
      <calculatedColumnFormula>SUM(Income[[#This Row],[Jan]:[Dec]])</calculatedColumnFormula>
    </tableColumn>
  </tableColumns>
  <tableStyleInfo name="TableStyleMedium15"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21E65AA-8F1F-45BF-9ACC-F1B890C1A005}" name="Expenses" displayName="Expenses" ref="A1:N19" totalsRowCount="1" headerRowDxfId="37">
  <autoFilter ref="A1:N18" xr:uid="{621E65AA-8F1F-45BF-9ACC-F1B890C1A00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512D322C-A15A-4F14-A90D-95AB16A288A2}" name="Year" totalsRowLabel="Net Expenses"/>
    <tableColumn id="2" xr3:uid="{C6D53102-2897-47EA-B587-1E6FC4F8921A}" name="Jan" totalsRowFunction="sum" totalsRowDxfId="36"/>
    <tableColumn id="3" xr3:uid="{4D38B43D-5041-4798-8713-6F2BC9876FB7}" name="Feb" totalsRowFunction="sum" totalsRowDxfId="35"/>
    <tableColumn id="4" xr3:uid="{4AFAC60D-61BB-43B2-9738-109B1D468DA3}" name="Mar" totalsRowFunction="sum" totalsRowDxfId="34"/>
    <tableColumn id="5" xr3:uid="{A080E26E-4624-4F73-A996-A87D0774DF85}" name="Apr" totalsRowFunction="sum" totalsRowDxfId="33"/>
    <tableColumn id="6" xr3:uid="{DF0E5E03-C368-4806-8E6D-EDF98F79D43E}" name="May" totalsRowFunction="sum" totalsRowDxfId="32"/>
    <tableColumn id="7" xr3:uid="{BB57BD65-1040-4E78-9B8B-CE58C2101019}" name="Jun" totalsRowFunction="sum" totalsRowDxfId="31"/>
    <tableColumn id="8" xr3:uid="{48E81712-7369-4AC0-AF3B-78FEBA95D44C}" name="Jul" totalsRowFunction="sum" totalsRowDxfId="30"/>
    <tableColumn id="9" xr3:uid="{D3E49048-32A2-4A1F-9B4D-CEFE7B98C447}" name="Aug" totalsRowFunction="sum" totalsRowDxfId="29"/>
    <tableColumn id="10" xr3:uid="{CAEBC953-71C0-4DE7-9D92-6182A614AE5A}" name="Sep" totalsRowFunction="sum" totalsRowDxfId="28"/>
    <tableColumn id="11" xr3:uid="{6A71682E-0930-4699-8CF1-AF1BF33A41CF}" name="Oct" totalsRowFunction="sum" totalsRowDxfId="27"/>
    <tableColumn id="12" xr3:uid="{2B25D527-5ECE-4144-9BF0-4476DEB1BD14}" name="Nov" totalsRowFunction="sum" totalsRowDxfId="26"/>
    <tableColumn id="13" xr3:uid="{004BB9FF-FAE0-4A8F-8DF4-8218012A888E}" name="Dec" totalsRowFunction="sum" totalsRowDxfId="25"/>
    <tableColumn id="14" xr3:uid="{A44930BA-6BEF-45C7-9369-9BDD30727959}" name="total" totalsRowFunction="sum" dataDxfId="24" totalsRowDxfId="23">
      <calculatedColumnFormula>SUM(Expenses[[#This Row],[Jan]:[Dec]])</calculatedColumnFormula>
    </tableColumn>
  </tableColumns>
  <tableStyleInfo name="TableStyleMedium2" showFirstColumn="1" showLastColumn="0" showRowStripes="1" showColumnStripes="1"/>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8284091-74DD-4963-977E-3D6AA6F9142F}" name="backup" displayName="backup" ref="E3:H12" totalsRowCount="1" headerRowDxfId="22">
  <autoFilter ref="E3:H11" xr:uid="{D8284091-74DD-4963-977E-3D6AA6F9142F}">
    <filterColumn colId="0" hiddenButton="1"/>
    <filterColumn colId="1" hiddenButton="1"/>
    <filterColumn colId="2" hiddenButton="1"/>
    <filterColumn colId="3" hiddenButton="1"/>
  </autoFilter>
  <tableColumns count="4">
    <tableColumn id="1" xr3:uid="{DA06DF47-0581-44FC-A147-E58F096E8B03}" name="Source" totalsRowLabel="Annual"/>
    <tableColumn id="2" xr3:uid="{EA8FFA4F-6B08-4583-94B2-9A567C513CB8}" name="monthly_payment" totalsRowFunction="sum" dataDxfId="21" totalsRowDxfId="20"/>
    <tableColumn id="3" xr3:uid="{6E3C1F60-5A82-43EF-BEEF-51FDF5F1AF5F}" name="duration_month" totalsRowFunction="average" dataDxfId="19" totalsRowDxfId="18"/>
    <tableColumn id="4" xr3:uid="{A15DC857-6F5C-4DAB-8A42-0BADFDF9F052}" name="total" totalsRowFunction="sum" dataDxfId="17" totalsRowDxfId="16">
      <calculatedColumnFormula>F4*G4</calculatedColumnFormula>
    </tableColumn>
  </tableColumns>
  <tableStyleInfo name="TableStyleMedium2" showFirstColumn="0" showLastColumn="0" showRowStripes="1" showColumnStripes="1"/>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F858718-0E7D-406E-8E18-C7D4B492CD78}" name="Table4" displayName="Table4" ref="A2:N3" dataDxfId="15">
  <autoFilter ref="A2:N3" xr:uid="{1F858718-0E7D-406E-8E18-C7D4B492CD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5628CFAB-9960-4AD0-9860-DD6C7293836F}" name="Year" totalsRowLabel="Total" dataDxfId="14"/>
    <tableColumn id="2" xr3:uid="{90050461-6EFF-41CB-86F3-B97B097E9A68}" name="Jan" dataDxfId="13">
      <calculatedColumnFormula array="1">Income[[#Totals],[Jan]]-(Expenses[[#Totals],[Jan]]+backup[[#Totals],[monthly_payment]:[monthly_payment]])</calculatedColumnFormula>
    </tableColumn>
    <tableColumn id="3" xr3:uid="{ACB3C6FF-4B5E-46F1-B5BD-0CA2CECD7766}" name="Feb" dataDxfId="12">
      <calculatedColumnFormula array="1">Income[[#Totals],[Feb]]-(Expenses[[#Totals],[Feb]]+backup[[#Totals],[monthly_payment]:[monthly_payment]])</calculatedColumnFormula>
    </tableColumn>
    <tableColumn id="4" xr3:uid="{42F023FE-A47D-41EF-83C8-0DE3CE36124F}" name="Mar" dataDxfId="11">
      <calculatedColumnFormula array="1">Income[[#Totals],[Mar]]-(Expenses[[#Totals],[Mar]]+backup[[#Totals],[monthly_payment]:[monthly_payment]])</calculatedColumnFormula>
    </tableColumn>
    <tableColumn id="5" xr3:uid="{2AD4DB9B-6EFC-4728-ABFD-2CA8379452DB}" name="Apr" dataDxfId="10">
      <calculatedColumnFormula array="1">Income[[#Totals],[Apr]]-(Expenses[[#Totals],[Apr]]+backup[[#Totals],[monthly_payment]:[monthly_payment]])</calculatedColumnFormula>
    </tableColumn>
    <tableColumn id="6" xr3:uid="{A746A802-F698-46E1-A323-BCD49182D11E}" name="May" dataDxfId="9">
      <calculatedColumnFormula array="1">Income[[#Totals],[May]]-(Expenses[[#Totals],[May]]+backup[[#Totals],[monthly_payment]:[monthly_payment]])</calculatedColumnFormula>
    </tableColumn>
    <tableColumn id="7" xr3:uid="{549FFB9E-E89E-4382-B168-FA97863F1A58}" name="Jun" dataDxfId="8">
      <calculatedColumnFormula array="1">Income[[#Totals],[Jun]]-(Expenses[[#Totals],[Jun]]+backup[[#Totals],[monthly_payment]:[monthly_payment]])</calculatedColumnFormula>
    </tableColumn>
    <tableColumn id="8" xr3:uid="{96CF4693-27FA-44AB-97D0-E9A9007A1EAA}" name="Jul" dataDxfId="7">
      <calculatedColumnFormula array="1">Income[[#Totals],[Jul]]-(Expenses[[#Totals],[Jul]]+backup[[#Totals],[monthly_payment]:[monthly_payment]])</calculatedColumnFormula>
    </tableColumn>
    <tableColumn id="9" xr3:uid="{DE6A98BE-FBF2-469B-8BA8-40AA3E1B90FE}" name="Aug" dataDxfId="6">
      <calculatedColumnFormula array="1">Income[[#Totals],[Aug]]-(Expenses[[#Totals],[Aug]]+backup[[#Totals],[monthly_payment]:[monthly_payment]])</calculatedColumnFormula>
    </tableColumn>
    <tableColumn id="10" xr3:uid="{F30926AA-D1AA-4D8E-863F-DE7A55B74F97}" name="Sep" dataDxfId="5">
      <calculatedColumnFormula array="1">Income[[#Totals],[Sep]]-(Expenses[[#Totals],[Sep]]+backup[[#Totals],[monthly_payment]:[monthly_payment]])</calculatedColumnFormula>
    </tableColumn>
    <tableColumn id="11" xr3:uid="{089246AB-9F71-4CCB-B3EA-9E691104D272}" name="Oct" dataDxfId="4">
      <calculatedColumnFormula array="1">Income[[#Totals],[Oct]]-(Expenses[[#Totals],[Oct]]+backup[[#Totals],[monthly_payment]:[monthly_payment]])</calculatedColumnFormula>
    </tableColumn>
    <tableColumn id="12" xr3:uid="{28BEDED0-9D92-4695-9513-5B09F69EC123}" name="Nov" dataDxfId="3">
      <calculatedColumnFormula array="1">Income[[#Totals],[Nov]]-(Expenses[[#Totals],[Nov]]+backup[[#Totals],[monthly_payment]:[monthly_payment]])</calculatedColumnFormula>
    </tableColumn>
    <tableColumn id="13" xr3:uid="{E9DBC92A-4693-4484-837B-12EAB0ED17DB}" name="Dec" dataDxfId="2">
      <calculatedColumnFormula array="1">Income[[#Totals],[Dec]]-(Expenses[[#Totals],[Dec]]+backup[[#Totals],[monthly_payment]:[monthly_payment]])</calculatedColumnFormula>
    </tableColumn>
    <tableColumn id="14" xr3:uid="{32C48AC3-40F3-48AD-AB04-95B91E32D0BA}" name="Total" totalsRowFunction="sum" dataDxfId="1" totalsRowDxfId="0">
      <calculatedColumnFormula>SUM(B3:M3)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3.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4.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6C04C-9B33-4B77-8D81-2C2F647BC411}">
  <sheetPr codeName="Sheet1"/>
  <dimension ref="A6:N14"/>
  <sheetViews>
    <sheetView showGridLines="0" tabSelected="1" zoomScaleNormal="100" workbookViewId="0">
      <selection activeCell="A8" sqref="A8"/>
    </sheetView>
  </sheetViews>
  <sheetFormatPr defaultRowHeight="15" x14ac:dyDescent="0.25"/>
  <cols>
    <col min="1" max="1" width="18.7109375" customWidth="1"/>
    <col min="2" max="14" width="10.7109375" customWidth="1"/>
  </cols>
  <sheetData>
    <row r="6" spans="1:14" s="3" customFormat="1" x14ac:dyDescent="0.25">
      <c r="A6" s="4" t="s">
        <v>35</v>
      </c>
      <c r="B6" s="7" t="s">
        <v>17</v>
      </c>
      <c r="C6" s="7" t="s">
        <v>18</v>
      </c>
      <c r="D6" s="7" t="s">
        <v>19</v>
      </c>
      <c r="E6" s="7" t="s">
        <v>20</v>
      </c>
      <c r="F6" s="7" t="s">
        <v>21</v>
      </c>
      <c r="G6" s="7" t="s">
        <v>22</v>
      </c>
      <c r="H6" s="7" t="s">
        <v>23</v>
      </c>
      <c r="I6" s="7" t="s">
        <v>24</v>
      </c>
      <c r="J6" s="7" t="s">
        <v>25</v>
      </c>
      <c r="K6" s="7" t="s">
        <v>26</v>
      </c>
      <c r="L6" s="7" t="s">
        <v>27</v>
      </c>
      <c r="M6" s="7" t="s">
        <v>28</v>
      </c>
      <c r="N6" s="7" t="s">
        <v>38</v>
      </c>
    </row>
    <row r="7" spans="1:14" x14ac:dyDescent="0.25">
      <c r="A7" s="12" t="s">
        <v>29</v>
      </c>
      <c r="B7" s="6">
        <v>40000</v>
      </c>
      <c r="C7" s="6">
        <v>40000</v>
      </c>
      <c r="D7" s="6">
        <v>40000</v>
      </c>
      <c r="E7" s="6">
        <v>40000</v>
      </c>
      <c r="F7" s="6">
        <v>40000</v>
      </c>
      <c r="G7" s="6">
        <v>40000</v>
      </c>
      <c r="H7" s="6">
        <v>40000</v>
      </c>
      <c r="I7" s="6">
        <v>40000</v>
      </c>
      <c r="J7" s="6">
        <v>40000</v>
      </c>
      <c r="K7" s="6">
        <v>40000</v>
      </c>
      <c r="L7" s="6">
        <v>40000</v>
      </c>
      <c r="M7" s="6">
        <v>40000</v>
      </c>
      <c r="N7" s="6">
        <f>SUM(Income[[#This Row],[Jan]:[Dec]])</f>
        <v>480000</v>
      </c>
    </row>
    <row r="8" spans="1:14" x14ac:dyDescent="0.25">
      <c r="A8" s="12" t="s">
        <v>30</v>
      </c>
      <c r="B8" s="6"/>
      <c r="C8" s="6">
        <v>5000</v>
      </c>
      <c r="D8" s="6"/>
      <c r="E8" s="6"/>
      <c r="F8" s="6">
        <v>7000</v>
      </c>
      <c r="G8" s="6"/>
      <c r="H8" s="6"/>
      <c r="I8" s="6"/>
      <c r="J8" s="6"/>
      <c r="K8" s="6"/>
      <c r="L8" s="6"/>
      <c r="M8" s="6"/>
      <c r="N8" s="6">
        <f>SUM(Income[[#This Row],[Jan]:[Dec]])</f>
        <v>12000</v>
      </c>
    </row>
    <row r="9" spans="1:14" x14ac:dyDescent="0.25">
      <c r="A9" s="12" t="s">
        <v>31</v>
      </c>
      <c r="B9" s="6"/>
      <c r="C9" s="6"/>
      <c r="D9" s="6">
        <v>2000</v>
      </c>
      <c r="E9" s="6"/>
      <c r="F9" s="6"/>
      <c r="G9" s="6"/>
      <c r="H9" s="6"/>
      <c r="I9" s="6"/>
      <c r="J9" s="6"/>
      <c r="K9" s="6"/>
      <c r="L9" s="6"/>
      <c r="M9" s="6"/>
      <c r="N9" s="6">
        <f>SUM(Income[[#This Row],[Jan]:[Dec]])</f>
        <v>2000</v>
      </c>
    </row>
    <row r="10" spans="1:14" x14ac:dyDescent="0.25">
      <c r="A10" s="12" t="s">
        <v>32</v>
      </c>
      <c r="B10" s="6"/>
      <c r="C10" s="6"/>
      <c r="D10" s="6"/>
      <c r="E10" s="6"/>
      <c r="F10" s="6"/>
      <c r="G10" s="6"/>
      <c r="H10" s="6"/>
      <c r="I10" s="6"/>
      <c r="J10" s="6"/>
      <c r="K10" s="6">
        <v>50000</v>
      </c>
      <c r="L10" s="6"/>
      <c r="M10" s="6"/>
      <c r="N10" s="6">
        <f>SUM(Income[[#This Row],[Jan]:[Dec]])</f>
        <v>50000</v>
      </c>
    </row>
    <row r="11" spans="1:14" x14ac:dyDescent="0.25">
      <c r="A11" s="12" t="s">
        <v>36</v>
      </c>
      <c r="B11" s="6"/>
      <c r="C11" s="6"/>
      <c r="D11" s="6"/>
      <c r="E11" s="6"/>
      <c r="F11" s="6">
        <v>3500</v>
      </c>
      <c r="G11" s="6"/>
      <c r="H11" s="6"/>
      <c r="I11" s="6"/>
      <c r="J11" s="6">
        <v>1500</v>
      </c>
      <c r="K11" s="6"/>
      <c r="L11" s="6"/>
      <c r="M11" s="6"/>
      <c r="N11" s="6">
        <f>SUM(Income[[#This Row],[Jan]:[Dec]])</f>
        <v>5000</v>
      </c>
    </row>
    <row r="12" spans="1:14" x14ac:dyDescent="0.25">
      <c r="A12" s="12" t="s">
        <v>33</v>
      </c>
      <c r="B12" s="6"/>
      <c r="C12" s="6"/>
      <c r="D12" s="6"/>
      <c r="E12" s="6"/>
      <c r="F12" s="6"/>
      <c r="G12" s="6"/>
      <c r="H12" s="6"/>
      <c r="I12" s="6"/>
      <c r="J12" s="6"/>
      <c r="K12" s="6"/>
      <c r="L12" s="6"/>
      <c r="M12" s="6"/>
      <c r="N12" s="6">
        <f>SUM(Income[[#This Row],[Jan]:[Dec]])</f>
        <v>0</v>
      </c>
    </row>
    <row r="13" spans="1:14" x14ac:dyDescent="0.25">
      <c r="A13" s="12" t="s">
        <v>34</v>
      </c>
      <c r="B13" s="6"/>
      <c r="C13" s="6"/>
      <c r="D13" s="6"/>
      <c r="E13" s="6"/>
      <c r="F13" s="6"/>
      <c r="G13" s="6"/>
      <c r="H13" s="6"/>
      <c r="I13" s="6"/>
      <c r="J13" s="6"/>
      <c r="K13" s="6"/>
      <c r="L13" s="6"/>
      <c r="M13" s="6"/>
      <c r="N13" s="6">
        <f>SUM(Income[[#This Row],[Jan]:[Dec]])</f>
        <v>0</v>
      </c>
    </row>
    <row r="14" spans="1:14" x14ac:dyDescent="0.25">
      <c r="A14" s="11" t="s">
        <v>37</v>
      </c>
      <c r="B14" s="6">
        <f>SUBTOTAL(109,Income[Jan])</f>
        <v>40000</v>
      </c>
      <c r="C14" s="6">
        <f>SUBTOTAL(109,Income[Feb])</f>
        <v>45000</v>
      </c>
      <c r="D14" s="6">
        <f>SUBTOTAL(109,Income[Mar])</f>
        <v>42000</v>
      </c>
      <c r="E14" s="6">
        <f>SUBTOTAL(109,Income[Apr])</f>
        <v>40000</v>
      </c>
      <c r="F14" s="6">
        <f>SUBTOTAL(109,Income[May])</f>
        <v>50500</v>
      </c>
      <c r="G14" s="6">
        <f>SUBTOTAL(109,Income[Jun])</f>
        <v>40000</v>
      </c>
      <c r="H14" s="6">
        <f>SUBTOTAL(109,Income[Jul])</f>
        <v>40000</v>
      </c>
      <c r="I14" s="6">
        <f>SUBTOTAL(109,Income[Aug])</f>
        <v>40000</v>
      </c>
      <c r="J14" s="6">
        <f>SUBTOTAL(109,Income[Sep])</f>
        <v>41500</v>
      </c>
      <c r="K14" s="6">
        <f>SUBTOTAL(109,Income[Oct])</f>
        <v>90000</v>
      </c>
      <c r="L14" s="6">
        <f>SUBTOTAL(109,Income[Nov])</f>
        <v>40000</v>
      </c>
      <c r="M14" s="6">
        <f>SUBTOTAL(109,Income[Dec])</f>
        <v>40000</v>
      </c>
      <c r="N14" s="6">
        <f>SUBTOTAL(109,Income[Total])</f>
        <v>549000</v>
      </c>
    </row>
  </sheetData>
  <phoneticPr fontId="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Expneses">
                <anchor moveWithCells="1" sizeWithCells="1">
                  <from>
                    <xdr:col>14</xdr:col>
                    <xdr:colOff>66675</xdr:colOff>
                    <xdr:row>5</xdr:row>
                    <xdr:rowOff>0</xdr:rowOff>
                  </from>
                  <to>
                    <xdr:col>15</xdr:col>
                    <xdr:colOff>504825</xdr:colOff>
                    <xdr:row>6</xdr:row>
                    <xdr:rowOff>123825</xdr:rowOff>
                  </to>
                </anchor>
              </controlPr>
            </control>
          </mc:Choice>
        </mc:AlternateContent>
        <mc:AlternateContent xmlns:mc="http://schemas.openxmlformats.org/markup-compatibility/2006">
          <mc:Choice Requires="x14">
            <control shapeId="2055" r:id="rId5" name="Button 7">
              <controlPr defaultSize="0" print="0" autoFill="0" autoPict="0" macro="[0]!Back_up">
                <anchor moveWithCells="1" sizeWithCells="1">
                  <from>
                    <xdr:col>14</xdr:col>
                    <xdr:colOff>66675</xdr:colOff>
                    <xdr:row>6</xdr:row>
                    <xdr:rowOff>142875</xdr:rowOff>
                  </from>
                  <to>
                    <xdr:col>15</xdr:col>
                    <xdr:colOff>504825</xdr:colOff>
                    <xdr:row>8</xdr:row>
                    <xdr:rowOff>76200</xdr:rowOff>
                  </to>
                </anchor>
              </controlPr>
            </control>
          </mc:Choice>
        </mc:AlternateContent>
        <mc:AlternateContent xmlns:mc="http://schemas.openxmlformats.org/markup-compatibility/2006">
          <mc:Choice Requires="x14">
            <control shapeId="2056" r:id="rId6" name="Button 8">
              <controlPr defaultSize="0" print="0" autoFill="0" autoPict="0" macro="[0]!Savings">
                <anchor moveWithCells="1" sizeWithCells="1">
                  <from>
                    <xdr:col>14</xdr:col>
                    <xdr:colOff>57150</xdr:colOff>
                    <xdr:row>8</xdr:row>
                    <xdr:rowOff>95250</xdr:rowOff>
                  </from>
                  <to>
                    <xdr:col>15</xdr:col>
                    <xdr:colOff>504825</xdr:colOff>
                    <xdr:row>10</xdr:row>
                    <xdr:rowOff>28575</xdr:rowOff>
                  </to>
                </anchor>
              </controlPr>
            </control>
          </mc:Choice>
        </mc:AlternateContent>
      </controls>
    </mc:Choice>
  </mc:AlternateContent>
  <tableParts count="1">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010CB-D099-4D22-8D9B-A04A8E572428}">
  <sheetPr codeName="Sheet2"/>
  <dimension ref="A1:N19"/>
  <sheetViews>
    <sheetView showGridLines="0" zoomScaleNormal="100" workbookViewId="0">
      <selection activeCell="R26" sqref="R26"/>
    </sheetView>
  </sheetViews>
  <sheetFormatPr defaultRowHeight="15" x14ac:dyDescent="0.25"/>
  <cols>
    <col min="1" max="1" width="18.42578125" bestFit="1" customWidth="1"/>
    <col min="2" max="13" width="10.7109375" customWidth="1"/>
    <col min="14" max="14" width="10.28515625" bestFit="1" customWidth="1"/>
  </cols>
  <sheetData>
    <row r="1" spans="1:14" s="3" customFormat="1" x14ac:dyDescent="0.25">
      <c r="A1" s="3" t="s">
        <v>49</v>
      </c>
      <c r="B1" s="3" t="s">
        <v>17</v>
      </c>
      <c r="C1" s="3" t="s">
        <v>18</v>
      </c>
      <c r="D1" s="3" t="s">
        <v>19</v>
      </c>
      <c r="E1" s="3" t="s">
        <v>20</v>
      </c>
      <c r="F1" s="3" t="s">
        <v>21</v>
      </c>
      <c r="G1" s="3" t="s">
        <v>22</v>
      </c>
      <c r="H1" s="3" t="s">
        <v>23</v>
      </c>
      <c r="I1" s="3" t="s">
        <v>24</v>
      </c>
      <c r="J1" s="3" t="s">
        <v>25</v>
      </c>
      <c r="K1" s="3" t="s">
        <v>26</v>
      </c>
      <c r="L1" s="3" t="s">
        <v>27</v>
      </c>
      <c r="M1" s="3" t="s">
        <v>28</v>
      </c>
      <c r="N1" s="3" t="s">
        <v>48</v>
      </c>
    </row>
    <row r="2" spans="1:14" x14ac:dyDescent="0.25">
      <c r="A2" s="10" t="s">
        <v>0</v>
      </c>
      <c r="B2" s="9"/>
      <c r="C2" s="9"/>
      <c r="D2" s="9"/>
      <c r="E2" s="9"/>
      <c r="F2" s="9"/>
      <c r="G2" s="9"/>
      <c r="H2" s="9"/>
      <c r="I2" s="9"/>
      <c r="J2" s="9"/>
      <c r="K2" s="9"/>
      <c r="L2" s="9"/>
      <c r="M2" s="9"/>
      <c r="N2" s="9"/>
    </row>
    <row r="3" spans="1:14" x14ac:dyDescent="0.25">
      <c r="A3" s="8" t="s">
        <v>1</v>
      </c>
      <c r="B3" s="6">
        <v>10000</v>
      </c>
      <c r="C3" s="6">
        <v>10000</v>
      </c>
      <c r="D3" s="6">
        <v>10000</v>
      </c>
      <c r="E3" s="6">
        <v>10000</v>
      </c>
      <c r="F3" s="6">
        <v>10000</v>
      </c>
      <c r="G3" s="6">
        <v>10000</v>
      </c>
      <c r="H3" s="6">
        <v>10000</v>
      </c>
      <c r="I3" s="6">
        <v>10000</v>
      </c>
      <c r="J3" s="6">
        <v>10000</v>
      </c>
      <c r="K3" s="6">
        <v>10000</v>
      </c>
      <c r="L3" s="6">
        <v>10000</v>
      </c>
      <c r="M3" s="6">
        <v>10000</v>
      </c>
      <c r="N3" s="6">
        <f>SUM(Expenses[[#This Row],[Jan]:[Dec]])</f>
        <v>120000</v>
      </c>
    </row>
    <row r="4" spans="1:14" x14ac:dyDescent="0.25">
      <c r="A4" s="8" t="s">
        <v>14</v>
      </c>
      <c r="B4" s="6">
        <v>900</v>
      </c>
      <c r="C4" s="6"/>
      <c r="D4" s="6"/>
      <c r="E4" s="6"/>
      <c r="F4" s="6"/>
      <c r="G4" s="6"/>
      <c r="H4" s="6"/>
      <c r="I4" s="6"/>
      <c r="J4" s="6"/>
      <c r="K4" s="6"/>
      <c r="L4" s="6"/>
      <c r="M4" s="6"/>
      <c r="N4" s="6">
        <f>SUM(Expenses[[#This Row],[Jan]:[Dec]])</f>
        <v>900</v>
      </c>
    </row>
    <row r="5" spans="1:14" x14ac:dyDescent="0.25">
      <c r="A5" s="8" t="s">
        <v>3</v>
      </c>
      <c r="B5" s="6">
        <v>1500</v>
      </c>
      <c r="C5" s="6">
        <v>5000</v>
      </c>
      <c r="D5" s="6">
        <v>5000</v>
      </c>
      <c r="E5" s="6">
        <v>5000</v>
      </c>
      <c r="F5" s="6">
        <v>5000</v>
      </c>
      <c r="G5" s="6">
        <v>5000</v>
      </c>
      <c r="H5" s="6">
        <v>5000</v>
      </c>
      <c r="I5" s="6">
        <v>5000</v>
      </c>
      <c r="J5" s="6">
        <v>5000</v>
      </c>
      <c r="K5" s="6">
        <v>5000</v>
      </c>
      <c r="L5" s="6">
        <v>5000</v>
      </c>
      <c r="M5" s="6">
        <v>5000</v>
      </c>
      <c r="N5" s="6">
        <f>SUM(Expenses[[#This Row],[Jan]:[Dec]])</f>
        <v>56500</v>
      </c>
    </row>
    <row r="6" spans="1:14" x14ac:dyDescent="0.25">
      <c r="A6" s="8" t="s">
        <v>5</v>
      </c>
      <c r="B6" s="6"/>
      <c r="C6" s="6"/>
      <c r="D6" s="6"/>
      <c r="E6" s="6"/>
      <c r="F6" s="6"/>
      <c r="G6" s="6"/>
      <c r="H6" s="6"/>
      <c r="I6" s="6"/>
      <c r="J6" s="6"/>
      <c r="K6" s="6"/>
      <c r="L6" s="6"/>
      <c r="M6" s="6"/>
      <c r="N6" s="6">
        <f>SUM(Expenses[[#This Row],[Jan]:[Dec]])</f>
        <v>0</v>
      </c>
    </row>
    <row r="7" spans="1:14" x14ac:dyDescent="0.25">
      <c r="A7" s="8" t="s">
        <v>2</v>
      </c>
      <c r="B7" s="6"/>
      <c r="C7" s="6"/>
      <c r="D7" s="6"/>
      <c r="E7" s="6"/>
      <c r="F7" s="6"/>
      <c r="G7" s="6"/>
      <c r="H7" s="6"/>
      <c r="I7" s="6"/>
      <c r="J7" s="6"/>
      <c r="K7" s="6"/>
      <c r="L7" s="6"/>
      <c r="M7" s="6"/>
      <c r="N7" s="6">
        <f>SUM(Expenses[[#This Row],[Jan]:[Dec]])</f>
        <v>0</v>
      </c>
    </row>
    <row r="8" spans="1:14" x14ac:dyDescent="0.25">
      <c r="A8" s="8" t="s">
        <v>4</v>
      </c>
      <c r="B8" s="6"/>
      <c r="C8" s="6"/>
      <c r="D8" s="6"/>
      <c r="E8" s="6"/>
      <c r="F8" s="6"/>
      <c r="G8" s="6"/>
      <c r="H8" s="6"/>
      <c r="I8" s="6"/>
      <c r="J8" s="6"/>
      <c r="K8" s="6"/>
      <c r="L8" s="6"/>
      <c r="M8" s="6"/>
      <c r="N8" s="6">
        <f>SUM(Expenses[[#This Row],[Jan]:[Dec]])</f>
        <v>0</v>
      </c>
    </row>
    <row r="9" spans="1:14" x14ac:dyDescent="0.25">
      <c r="A9" s="8" t="s">
        <v>8</v>
      </c>
      <c r="B9" s="6">
        <v>2000</v>
      </c>
      <c r="C9" s="6"/>
      <c r="D9" s="6"/>
      <c r="E9" s="6"/>
      <c r="F9" s="6"/>
      <c r="G9" s="6"/>
      <c r="H9" s="6"/>
      <c r="I9" s="6"/>
      <c r="J9" s="6"/>
      <c r="K9" s="6"/>
      <c r="L9" s="6"/>
      <c r="M9" s="6"/>
      <c r="N9" s="6">
        <f>SUM(Expenses[[#This Row],[Jan]:[Dec]])</f>
        <v>2000</v>
      </c>
    </row>
    <row r="10" spans="1:14" x14ac:dyDescent="0.25">
      <c r="A10" s="8" t="s">
        <v>16</v>
      </c>
      <c r="B10" s="6"/>
      <c r="C10" s="6"/>
      <c r="D10" s="6"/>
      <c r="E10" s="6"/>
      <c r="F10" s="6"/>
      <c r="G10" s="6"/>
      <c r="H10" s="6"/>
      <c r="I10" s="6"/>
      <c r="J10" s="6"/>
      <c r="K10" s="6"/>
      <c r="L10" s="6"/>
      <c r="M10" s="6"/>
      <c r="N10" s="6">
        <f>SUM(Expenses[[#This Row],[Jan]:[Dec]])</f>
        <v>0</v>
      </c>
    </row>
    <row r="11" spans="1:14" x14ac:dyDescent="0.25">
      <c r="A11" s="8" t="s">
        <v>12</v>
      </c>
      <c r="B11" s="6"/>
      <c r="C11" s="6"/>
      <c r="D11" s="6"/>
      <c r="E11" s="6"/>
      <c r="F11" s="6"/>
      <c r="G11" s="6"/>
      <c r="H11" s="6"/>
      <c r="I11" s="6"/>
      <c r="J11" s="6"/>
      <c r="K11" s="6"/>
      <c r="L11" s="6"/>
      <c r="M11" s="6">
        <v>6000</v>
      </c>
      <c r="N11" s="6">
        <f>SUM(Expenses[[#This Row],[Jan]:[Dec]])</f>
        <v>6000</v>
      </c>
    </row>
    <row r="12" spans="1:14" x14ac:dyDescent="0.25">
      <c r="A12" s="8" t="s">
        <v>13</v>
      </c>
      <c r="B12" s="6">
        <v>2500</v>
      </c>
      <c r="C12" s="6"/>
      <c r="D12" s="6"/>
      <c r="E12" s="6"/>
      <c r="F12" s="6"/>
      <c r="G12" s="6"/>
      <c r="H12" s="6"/>
      <c r="I12" s="6"/>
      <c r="J12" s="6"/>
      <c r="K12" s="6"/>
      <c r="L12" s="6"/>
      <c r="M12" s="6"/>
      <c r="N12" s="6">
        <f>SUM(Expenses[[#This Row],[Jan]:[Dec]])</f>
        <v>2500</v>
      </c>
    </row>
    <row r="13" spans="1:14" x14ac:dyDescent="0.25">
      <c r="A13" s="8" t="s">
        <v>6</v>
      </c>
      <c r="B13" s="6"/>
      <c r="C13" s="6"/>
      <c r="D13" s="6"/>
      <c r="E13" s="6"/>
      <c r="F13" s="6"/>
      <c r="G13" s="6"/>
      <c r="H13" s="6"/>
      <c r="I13" s="6"/>
      <c r="J13" s="6"/>
      <c r="K13" s="6"/>
      <c r="L13" s="6"/>
      <c r="M13" s="6"/>
      <c r="N13" s="6">
        <f>SUM(Expenses[[#This Row],[Jan]:[Dec]])</f>
        <v>0</v>
      </c>
    </row>
    <row r="14" spans="1:14" x14ac:dyDescent="0.25">
      <c r="A14" s="8" t="s">
        <v>9</v>
      </c>
      <c r="B14" s="6">
        <v>2000</v>
      </c>
      <c r="C14" s="6"/>
      <c r="D14" s="6"/>
      <c r="E14" s="6"/>
      <c r="F14" s="6"/>
      <c r="G14" s="6"/>
      <c r="H14" s="6"/>
      <c r="I14" s="6"/>
      <c r="J14" s="6"/>
      <c r="K14" s="6"/>
      <c r="L14" s="6"/>
      <c r="M14" s="6"/>
      <c r="N14" s="6">
        <f>SUM(Expenses[[#This Row],[Jan]:[Dec]])</f>
        <v>2000</v>
      </c>
    </row>
    <row r="15" spans="1:14" x14ac:dyDescent="0.25">
      <c r="A15" s="8" t="s">
        <v>10</v>
      </c>
      <c r="B15" s="6"/>
      <c r="C15" s="6"/>
      <c r="D15" s="6"/>
      <c r="E15" s="6"/>
      <c r="F15" s="6"/>
      <c r="G15" s="6"/>
      <c r="H15" s="6"/>
      <c r="I15" s="6"/>
      <c r="J15" s="6"/>
      <c r="K15" s="6"/>
      <c r="L15" s="6"/>
      <c r="M15" s="6"/>
      <c r="N15" s="6">
        <f>SUM(Expenses[[#This Row],[Jan]:[Dec]])</f>
        <v>0</v>
      </c>
    </row>
    <row r="16" spans="1:14" x14ac:dyDescent="0.25">
      <c r="A16" s="8" t="s">
        <v>11</v>
      </c>
      <c r="B16" s="6"/>
      <c r="C16" s="6"/>
      <c r="D16" s="6"/>
      <c r="E16" s="6"/>
      <c r="F16" s="6"/>
      <c r="G16" s="6"/>
      <c r="H16" s="6"/>
      <c r="I16" s="6"/>
      <c r="J16" s="6"/>
      <c r="K16" s="6"/>
      <c r="L16" s="6"/>
      <c r="M16" s="6"/>
      <c r="N16" s="6">
        <f>SUM(Expenses[[#This Row],[Jan]:[Dec]])</f>
        <v>0</v>
      </c>
    </row>
    <row r="17" spans="1:14" x14ac:dyDescent="0.25">
      <c r="A17" s="8" t="s">
        <v>7</v>
      </c>
      <c r="B17" s="6"/>
      <c r="C17" s="6"/>
      <c r="D17" s="6"/>
      <c r="E17" s="6"/>
      <c r="F17" s="6"/>
      <c r="G17" s="6"/>
      <c r="H17" s="6"/>
      <c r="I17" s="6"/>
      <c r="J17" s="6"/>
      <c r="K17" s="6"/>
      <c r="L17" s="6"/>
      <c r="M17" s="6"/>
      <c r="N17" s="6">
        <f>SUM(Expenses[[#This Row],[Jan]:[Dec]])</f>
        <v>0</v>
      </c>
    </row>
    <row r="18" spans="1:14" x14ac:dyDescent="0.25">
      <c r="A18" s="8" t="s">
        <v>15</v>
      </c>
      <c r="B18" s="6"/>
      <c r="C18" s="6"/>
      <c r="D18" s="6"/>
      <c r="E18" s="6"/>
      <c r="F18" s="6"/>
      <c r="G18" s="6"/>
      <c r="H18" s="6"/>
      <c r="I18" s="6"/>
      <c r="J18" s="6"/>
      <c r="K18" s="6"/>
      <c r="L18" s="6"/>
      <c r="M18" s="6"/>
      <c r="N18" s="6">
        <f>SUM(Expenses[[#This Row],[Jan]:[Dec]])</f>
        <v>0</v>
      </c>
    </row>
    <row r="19" spans="1:14" x14ac:dyDescent="0.25">
      <c r="A19" t="s">
        <v>53</v>
      </c>
      <c r="B19" s="6">
        <f>SUBTOTAL(109,Expenses[Jan])</f>
        <v>18900</v>
      </c>
      <c r="C19" s="6">
        <f>SUBTOTAL(109,Expenses[Feb])</f>
        <v>15000</v>
      </c>
      <c r="D19" s="6">
        <f>SUBTOTAL(109,Expenses[Mar])</f>
        <v>15000</v>
      </c>
      <c r="E19" s="6">
        <f>SUBTOTAL(109,Expenses[Apr])</f>
        <v>15000</v>
      </c>
      <c r="F19" s="6">
        <f>SUBTOTAL(109,Expenses[May])</f>
        <v>15000</v>
      </c>
      <c r="G19" s="6">
        <f>SUBTOTAL(109,Expenses[Jun])</f>
        <v>15000</v>
      </c>
      <c r="H19" s="6">
        <f>SUBTOTAL(109,Expenses[Jul])</f>
        <v>15000</v>
      </c>
      <c r="I19" s="6">
        <f>SUBTOTAL(109,Expenses[Aug])</f>
        <v>15000</v>
      </c>
      <c r="J19" s="6">
        <f>SUBTOTAL(109,Expenses[Sep])</f>
        <v>15000</v>
      </c>
      <c r="K19" s="6">
        <f>SUBTOTAL(109,Expenses[Oct])</f>
        <v>15000</v>
      </c>
      <c r="L19" s="6">
        <f>SUBTOTAL(109,Expenses[Nov])</f>
        <v>15000</v>
      </c>
      <c r="M19" s="6">
        <f>SUBTOTAL(109,Expenses[Dec])</f>
        <v>21000</v>
      </c>
      <c r="N19" s="6">
        <f>SUBTOTAL(109,Expenses[total])</f>
        <v>189900</v>
      </c>
    </row>
  </sheetData>
  <phoneticPr fontId="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Module1.Income">
                <anchor moveWithCells="1" sizeWithCells="1">
                  <from>
                    <xdr:col>15</xdr:col>
                    <xdr:colOff>114300</xdr:colOff>
                    <xdr:row>17</xdr:row>
                    <xdr:rowOff>0</xdr:rowOff>
                  </from>
                  <to>
                    <xdr:col>16</xdr:col>
                    <xdr:colOff>552450</xdr:colOff>
                    <xdr:row>18</xdr:row>
                    <xdr:rowOff>123825</xdr:rowOff>
                  </to>
                </anchor>
              </controlPr>
            </control>
          </mc:Choice>
        </mc:AlternateContent>
        <mc:AlternateContent xmlns:mc="http://schemas.openxmlformats.org/markup-compatibility/2006">
          <mc:Choice Requires="x14">
            <control shapeId="1030" r:id="rId5" name="Button 6">
              <controlPr defaultSize="0" print="0" autoFill="0" autoPict="0" macro="[0]!Back_up">
                <anchor moveWithCells="1" sizeWithCells="1">
                  <from>
                    <xdr:col>15</xdr:col>
                    <xdr:colOff>114300</xdr:colOff>
                    <xdr:row>18</xdr:row>
                    <xdr:rowOff>142875</xdr:rowOff>
                  </from>
                  <to>
                    <xdr:col>16</xdr:col>
                    <xdr:colOff>552450</xdr:colOff>
                    <xdr:row>20</xdr:row>
                    <xdr:rowOff>76200</xdr:rowOff>
                  </to>
                </anchor>
              </controlPr>
            </control>
          </mc:Choice>
        </mc:AlternateContent>
        <mc:AlternateContent xmlns:mc="http://schemas.openxmlformats.org/markup-compatibility/2006">
          <mc:Choice Requires="x14">
            <control shapeId="1031" r:id="rId6" name="Button 7">
              <controlPr defaultSize="0" print="0" autoFill="0" autoPict="0" macro="[0]!Savings">
                <anchor moveWithCells="1" sizeWithCells="1">
                  <from>
                    <xdr:col>15</xdr:col>
                    <xdr:colOff>104775</xdr:colOff>
                    <xdr:row>20</xdr:row>
                    <xdr:rowOff>95250</xdr:rowOff>
                  </from>
                  <to>
                    <xdr:col>16</xdr:col>
                    <xdr:colOff>552450</xdr:colOff>
                    <xdr:row>22</xdr:row>
                    <xdr:rowOff>28575</xdr:rowOff>
                  </to>
                </anchor>
              </controlPr>
            </control>
          </mc:Choice>
        </mc:AlternateContent>
      </controls>
    </mc:Choice>
  </mc:AlternateContent>
  <tableParts count="1">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5717F-17D2-4816-8B9A-C4497AAB55E7}">
  <sheetPr codeName="Sheet3"/>
  <dimension ref="E3:H12"/>
  <sheetViews>
    <sheetView showGridLines="0" zoomScale="115" zoomScaleNormal="115" workbookViewId="0">
      <selection activeCell="M7" sqref="M7"/>
    </sheetView>
  </sheetViews>
  <sheetFormatPr defaultRowHeight="15" x14ac:dyDescent="0.25"/>
  <cols>
    <col min="5" max="5" width="16.85546875" bestFit="1" customWidth="1"/>
    <col min="6" max="6" width="19.42578125" customWidth="1"/>
    <col min="7" max="7" width="17.5703125" customWidth="1"/>
    <col min="8" max="8" width="12.28515625" bestFit="1" customWidth="1"/>
  </cols>
  <sheetData>
    <row r="3" spans="5:8" x14ac:dyDescent="0.25">
      <c r="E3" s="1" t="s">
        <v>35</v>
      </c>
      <c r="F3" s="2" t="s">
        <v>46</v>
      </c>
      <c r="G3" s="2" t="s">
        <v>47</v>
      </c>
      <c r="H3" s="2" t="s">
        <v>48</v>
      </c>
    </row>
    <row r="4" spans="5:8" x14ac:dyDescent="0.25">
      <c r="E4" t="s">
        <v>39</v>
      </c>
      <c r="F4" s="5"/>
      <c r="G4" s="2"/>
      <c r="H4" s="5">
        <f>F4*G4</f>
        <v>0</v>
      </c>
    </row>
    <row r="5" spans="5:8" x14ac:dyDescent="0.25">
      <c r="E5" t="s">
        <v>40</v>
      </c>
      <c r="F5" s="5"/>
      <c r="G5" s="2"/>
      <c r="H5" s="5">
        <f t="shared" ref="H5:H11" si="0">F5*G5</f>
        <v>0</v>
      </c>
    </row>
    <row r="6" spans="5:8" x14ac:dyDescent="0.25">
      <c r="E6" t="s">
        <v>41</v>
      </c>
      <c r="F6" s="5"/>
      <c r="G6" s="2"/>
      <c r="H6" s="5">
        <f t="shared" si="0"/>
        <v>0</v>
      </c>
    </row>
    <row r="7" spans="5:8" x14ac:dyDescent="0.25">
      <c r="E7" t="s">
        <v>42</v>
      </c>
      <c r="F7" s="5"/>
      <c r="G7" s="2"/>
      <c r="H7" s="5">
        <f t="shared" si="0"/>
        <v>0</v>
      </c>
    </row>
    <row r="8" spans="5:8" x14ac:dyDescent="0.25">
      <c r="E8" t="s">
        <v>43</v>
      </c>
      <c r="F8" s="5"/>
      <c r="G8" s="2"/>
      <c r="H8" s="5">
        <f t="shared" si="0"/>
        <v>0</v>
      </c>
    </row>
    <row r="9" spans="5:8" x14ac:dyDescent="0.25">
      <c r="E9" t="s">
        <v>44</v>
      </c>
      <c r="F9" s="5"/>
      <c r="G9" s="2"/>
      <c r="H9" s="5">
        <f t="shared" si="0"/>
        <v>0</v>
      </c>
    </row>
    <row r="10" spans="5:8" x14ac:dyDescent="0.25">
      <c r="E10" t="s">
        <v>50</v>
      </c>
      <c r="F10" s="5"/>
      <c r="G10" s="2"/>
      <c r="H10" s="5">
        <f>F10*G10</f>
        <v>0</v>
      </c>
    </row>
    <row r="11" spans="5:8" x14ac:dyDescent="0.25">
      <c r="E11" t="s">
        <v>45</v>
      </c>
      <c r="F11" s="5"/>
      <c r="G11" s="2"/>
      <c r="H11" s="5">
        <f t="shared" si="0"/>
        <v>0</v>
      </c>
    </row>
    <row r="12" spans="5:8" x14ac:dyDescent="0.25">
      <c r="E12" t="s">
        <v>51</v>
      </c>
      <c r="F12" s="5">
        <f>SUBTOTAL(109,backup[monthly_payment])</f>
        <v>0</v>
      </c>
      <c r="G12" s="2" t="e">
        <f>SUBTOTAL(101,backup[duration_month])</f>
        <v>#DIV/0!</v>
      </c>
      <c r="H12" s="5">
        <f>SUBTOTAL(109,backup[total])</f>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5" r:id="rId3" name="Button 3">
              <controlPr defaultSize="0" print="0" autoFill="0" autoPict="0" macro="[0]!Expneses">
                <anchor moveWithCells="1" sizeWithCells="1">
                  <from>
                    <xdr:col>9</xdr:col>
                    <xdr:colOff>95250</xdr:colOff>
                    <xdr:row>2</xdr:row>
                    <xdr:rowOff>0</xdr:rowOff>
                  </from>
                  <to>
                    <xdr:col>10</xdr:col>
                    <xdr:colOff>533400</xdr:colOff>
                    <xdr:row>3</xdr:row>
                    <xdr:rowOff>123825</xdr:rowOff>
                  </to>
                </anchor>
              </controlPr>
            </control>
          </mc:Choice>
        </mc:AlternateContent>
        <mc:AlternateContent xmlns:mc="http://schemas.openxmlformats.org/markup-compatibility/2006">
          <mc:Choice Requires="x14">
            <control shapeId="3076" r:id="rId4" name="Button 4">
              <controlPr defaultSize="0" print="0" autoFill="0" autoPict="0" macro="[0]!Module1.Income">
                <anchor moveWithCells="1" sizeWithCells="1">
                  <from>
                    <xdr:col>9</xdr:col>
                    <xdr:colOff>95250</xdr:colOff>
                    <xdr:row>3</xdr:row>
                    <xdr:rowOff>133350</xdr:rowOff>
                  </from>
                  <to>
                    <xdr:col>10</xdr:col>
                    <xdr:colOff>533400</xdr:colOff>
                    <xdr:row>5</xdr:row>
                    <xdr:rowOff>66675</xdr:rowOff>
                  </to>
                </anchor>
              </controlPr>
            </control>
          </mc:Choice>
        </mc:AlternateContent>
        <mc:AlternateContent xmlns:mc="http://schemas.openxmlformats.org/markup-compatibility/2006">
          <mc:Choice Requires="x14">
            <control shapeId="3077" r:id="rId5" name="Button 5">
              <controlPr defaultSize="0" print="0" autoFill="0" autoPict="0" macro="[0]!Savings">
                <anchor moveWithCells="1" sizeWithCells="1">
                  <from>
                    <xdr:col>9</xdr:col>
                    <xdr:colOff>85725</xdr:colOff>
                    <xdr:row>5</xdr:row>
                    <xdr:rowOff>85725</xdr:rowOff>
                  </from>
                  <to>
                    <xdr:col>10</xdr:col>
                    <xdr:colOff>533400</xdr:colOff>
                    <xdr:row>7</xdr:row>
                    <xdr:rowOff>19050</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64E10-A4E7-470D-8DCF-5A047E35CFB0}">
  <sheetPr codeName="Sheet4"/>
  <dimension ref="A1:N3"/>
  <sheetViews>
    <sheetView showGridLines="0" zoomScale="130" zoomScaleNormal="130" workbookViewId="0">
      <selection activeCell="Q9" sqref="Q9"/>
    </sheetView>
  </sheetViews>
  <sheetFormatPr defaultRowHeight="15" x14ac:dyDescent="0.25"/>
  <cols>
    <col min="1" max="1" width="16" bestFit="1" customWidth="1"/>
    <col min="2" max="13" width="8.5703125" bestFit="1" customWidth="1"/>
    <col min="14" max="14" width="10.28515625" bestFit="1" customWidth="1"/>
  </cols>
  <sheetData>
    <row r="1" spans="1:14" ht="20.100000000000001" customHeight="1" x14ac:dyDescent="0.25">
      <c r="B1" s="16" t="s">
        <v>54</v>
      </c>
      <c r="C1" s="16"/>
      <c r="D1" s="16"/>
      <c r="E1" s="16"/>
      <c r="F1" s="16"/>
      <c r="G1" s="16"/>
      <c r="H1" s="16"/>
      <c r="I1" s="16"/>
      <c r="J1" s="16"/>
      <c r="K1" s="16"/>
      <c r="L1" s="16"/>
      <c r="M1" s="16"/>
    </row>
    <row r="2" spans="1:14" x14ac:dyDescent="0.25">
      <c r="A2" t="s">
        <v>49</v>
      </c>
      <c r="B2" t="s">
        <v>17</v>
      </c>
      <c r="C2" t="s">
        <v>18</v>
      </c>
      <c r="D2" t="s">
        <v>19</v>
      </c>
      <c r="E2" t="s">
        <v>20</v>
      </c>
      <c r="F2" t="s">
        <v>21</v>
      </c>
      <c r="G2" t="s">
        <v>22</v>
      </c>
      <c r="H2" t="s">
        <v>23</v>
      </c>
      <c r="I2" t="s">
        <v>24</v>
      </c>
      <c r="J2" t="s">
        <v>25</v>
      </c>
      <c r="K2" t="s">
        <v>26</v>
      </c>
      <c r="L2" t="s">
        <v>27</v>
      </c>
      <c r="M2" t="s">
        <v>28</v>
      </c>
      <c r="N2" t="s">
        <v>38</v>
      </c>
    </row>
    <row r="3" spans="1:14" s="3" customFormat="1" ht="24.95" customHeight="1" x14ac:dyDescent="0.25">
      <c r="A3" s="13" t="s">
        <v>52</v>
      </c>
      <c r="B3" s="15" cm="1">
        <f t="array" ref="B3">Income[[#Totals],[Jan]]-(Expenses[[#Totals],[Jan]]+backup[[#Totals],[monthly_payment]:[monthly_payment]])</f>
        <v>21100</v>
      </c>
      <c r="C3" s="15" cm="1">
        <f t="array" ref="C3">Income[[#Totals],[Feb]]-(Expenses[[#Totals],[Feb]]+backup[[#Totals],[monthly_payment]:[monthly_payment]])</f>
        <v>30000</v>
      </c>
      <c r="D3" s="15" cm="1">
        <f t="array" ref="D3">Income[[#Totals],[Mar]]-(Expenses[[#Totals],[Mar]]+backup[[#Totals],[monthly_payment]:[monthly_payment]])</f>
        <v>27000</v>
      </c>
      <c r="E3" s="15" cm="1">
        <f t="array" ref="E3">Income[[#Totals],[Apr]]-(Expenses[[#Totals],[Apr]]+backup[[#Totals],[monthly_payment]:[monthly_payment]])</f>
        <v>25000</v>
      </c>
      <c r="F3" s="15" cm="1">
        <f t="array" ref="F3">Income[[#Totals],[May]]-(Expenses[[#Totals],[May]]+backup[[#Totals],[monthly_payment]:[monthly_payment]])</f>
        <v>35500</v>
      </c>
      <c r="G3" s="15" cm="1">
        <f t="array" ref="G3">Income[[#Totals],[Jun]]-(Expenses[[#Totals],[Jun]]+backup[[#Totals],[monthly_payment]:[monthly_payment]])</f>
        <v>25000</v>
      </c>
      <c r="H3" s="15" cm="1">
        <f t="array" ref="H3">Income[[#Totals],[Jul]]-(Expenses[[#Totals],[Jul]]+backup[[#Totals],[monthly_payment]:[monthly_payment]])</f>
        <v>25000</v>
      </c>
      <c r="I3" s="15" cm="1">
        <f t="array" ref="I3">Income[[#Totals],[Aug]]-(Expenses[[#Totals],[Aug]]+backup[[#Totals],[monthly_payment]:[monthly_payment]])</f>
        <v>25000</v>
      </c>
      <c r="J3" s="15" cm="1">
        <f t="array" ref="J3">Income[[#Totals],[Sep]]-(Expenses[[#Totals],[Sep]]+backup[[#Totals],[monthly_payment]:[monthly_payment]])</f>
        <v>26500</v>
      </c>
      <c r="K3" s="15" cm="1">
        <f t="array" ref="K3">Income[[#Totals],[Oct]]-(Expenses[[#Totals],[Oct]]+backup[[#Totals],[monthly_payment]:[monthly_payment]])</f>
        <v>75000</v>
      </c>
      <c r="L3" s="15" cm="1">
        <f t="array" ref="L3">Income[[#Totals],[Nov]]-(Expenses[[#Totals],[Nov]]+backup[[#Totals],[monthly_payment]:[monthly_payment]])</f>
        <v>25000</v>
      </c>
      <c r="M3" s="15" cm="1">
        <f t="array" ref="M3">Income[[#Totals],[Dec]]-(Expenses[[#Totals],[Dec]]+backup[[#Totals],[monthly_payment]:[monthly_payment]])</f>
        <v>19000</v>
      </c>
      <c r="N3" s="14">
        <f>SUM(B3:M3)</f>
        <v>359100</v>
      </c>
    </row>
  </sheetData>
  <mergeCells count="1">
    <mergeCell ref="B1:M1"/>
  </mergeCells>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neses">
                <anchor moveWithCells="1" sizeWithCells="1">
                  <from>
                    <xdr:col>14</xdr:col>
                    <xdr:colOff>161925</xdr:colOff>
                    <xdr:row>4</xdr:row>
                    <xdr:rowOff>9525</xdr:rowOff>
                  </from>
                  <to>
                    <xdr:col>15</xdr:col>
                    <xdr:colOff>600075</xdr:colOff>
                    <xdr:row>5</xdr:row>
                    <xdr:rowOff>133350</xdr:rowOff>
                  </to>
                </anchor>
              </controlPr>
            </control>
          </mc:Choice>
        </mc:AlternateContent>
        <mc:AlternateContent xmlns:mc="http://schemas.openxmlformats.org/markup-compatibility/2006">
          <mc:Choice Requires="x14">
            <control shapeId="4098" r:id="rId4" name="Button 2">
              <controlPr defaultSize="0" print="0" autoFill="0" autoPict="0" macro="[0]!Back_up">
                <anchor moveWithCells="1" sizeWithCells="1">
                  <from>
                    <xdr:col>14</xdr:col>
                    <xdr:colOff>161925</xdr:colOff>
                    <xdr:row>5</xdr:row>
                    <xdr:rowOff>152400</xdr:rowOff>
                  </from>
                  <to>
                    <xdr:col>15</xdr:col>
                    <xdr:colOff>600075</xdr:colOff>
                    <xdr:row>7</xdr:row>
                    <xdr:rowOff>85725</xdr:rowOff>
                  </to>
                </anchor>
              </controlPr>
            </control>
          </mc:Choice>
        </mc:AlternateContent>
        <mc:AlternateContent xmlns:mc="http://schemas.openxmlformats.org/markup-compatibility/2006">
          <mc:Choice Requires="x14">
            <control shapeId="4099" r:id="rId5" name="Button 3">
              <controlPr defaultSize="0" print="0" autoFill="0" autoPict="0" macro="[0]!Module1.Income">
                <anchor moveWithCells="1" sizeWithCells="1">
                  <from>
                    <xdr:col>14</xdr:col>
                    <xdr:colOff>152400</xdr:colOff>
                    <xdr:row>7</xdr:row>
                    <xdr:rowOff>95250</xdr:rowOff>
                  </from>
                  <to>
                    <xdr:col>15</xdr:col>
                    <xdr:colOff>600075</xdr:colOff>
                    <xdr:row>9</xdr:row>
                    <xdr:rowOff>28575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Income</vt:lpstr>
      <vt:lpstr>Expenses</vt:lpstr>
      <vt:lpstr>Back-Up</vt:lpstr>
      <vt:lpstr>Savings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Bat Man</dc:creator>
  <cp:lastModifiedBy>Bat Man</cp:lastModifiedBy>
  <dcterms:created xsi:type="dcterms:W3CDTF">2025-06-19T09:51:30Z</dcterms:created>
  <dcterms:modified xsi:type="dcterms:W3CDTF">2025-07-03T17:09:07Z</dcterms:modified>
</cp:coreProperties>
</file>